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joudm\OneDrive\Bureau\Finance learning\Ferrari 3-statement\"/>
    </mc:Choice>
  </mc:AlternateContent>
  <xr:revisionPtr revIDLastSave="0" documentId="13_ncr:1_{7065FAFF-5F4D-441F-8DCB-49A2E460C257}" xr6:coauthVersionLast="47" xr6:coauthVersionMax="47" xr10:uidLastSave="{00000000-0000-0000-0000-000000000000}"/>
  <bookViews>
    <workbookView xWindow="-108" yWindow="-108" windowWidth="23256" windowHeight="12456" xr2:uid="{00000000-000D-0000-FFFF-FFFF00000000}"/>
  </bookViews>
  <sheets>
    <sheet name="Summary" sheetId="11" r:id="rId1"/>
    <sheet name="Assumptions" sheetId="10" r:id="rId2"/>
    <sheet name="Income Statement" sheetId="1" r:id="rId3"/>
    <sheet name="Balance Sheet" sheetId="2" r:id="rId4"/>
    <sheet name="Cash Flow Statement" sheetId="3" r:id="rId5"/>
    <sheet name="EPS" sheetId="5" r:id="rId6"/>
    <sheet name="Debt" sheetId="8" r:id="rId7"/>
    <sheet name="PPE and Intangible" sheetId="9" r:id="rId8"/>
    <sheet name="Income tax" sheetId="4" r:id="rId9"/>
    <sheet name="full ppe" sheetId="7" state="hidden" r:id="rId10"/>
    <sheet name="ia full" sheetId="6" state="hidden" r:id="rId11"/>
  </sheets>
  <calcPr calcId="191029"/>
</workbook>
</file>

<file path=xl/calcChain.xml><?xml version="1.0" encoding="utf-8"?>
<calcChain xmlns="http://schemas.openxmlformats.org/spreadsheetml/2006/main">
  <c r="C15" i="11" l="1"/>
  <c r="G10" i="11"/>
  <c r="F5" i="10"/>
  <c r="J5" i="10"/>
  <c r="I5" i="10"/>
  <c r="H5" i="10"/>
  <c r="G5" i="10"/>
  <c r="D23" i="11"/>
  <c r="E23" i="11"/>
  <c r="F23" i="11"/>
  <c r="G23" i="11"/>
  <c r="H23" i="11"/>
  <c r="I23" i="11"/>
  <c r="J23" i="11"/>
  <c r="C23" i="11"/>
  <c r="D22" i="11"/>
  <c r="E22" i="11"/>
  <c r="F22" i="11"/>
  <c r="G22" i="11"/>
  <c r="H22" i="11"/>
  <c r="I22" i="11"/>
  <c r="J22" i="11"/>
  <c r="D21" i="11"/>
  <c r="E21" i="11"/>
  <c r="F21" i="11"/>
  <c r="G21" i="11"/>
  <c r="H21" i="11"/>
  <c r="I21" i="11"/>
  <c r="J21" i="11"/>
  <c r="C21" i="11"/>
  <c r="D20" i="11"/>
  <c r="E20" i="11"/>
  <c r="F20" i="11"/>
  <c r="G20" i="11"/>
  <c r="H20" i="11"/>
  <c r="I20" i="11"/>
  <c r="J20" i="11"/>
  <c r="C20" i="11"/>
  <c r="D19" i="11"/>
  <c r="E19" i="11"/>
  <c r="F19" i="11"/>
  <c r="J19" i="11"/>
  <c r="C19" i="11"/>
  <c r="D18" i="11"/>
  <c r="E18" i="11"/>
  <c r="F18" i="11"/>
  <c r="G18" i="11"/>
  <c r="H18" i="11"/>
  <c r="I18" i="11"/>
  <c r="J18" i="11"/>
  <c r="C18" i="11"/>
  <c r="D13" i="11"/>
  <c r="E13" i="11"/>
  <c r="F13" i="11"/>
  <c r="C13" i="11"/>
  <c r="D12" i="11"/>
  <c r="E12" i="11"/>
  <c r="F12" i="11"/>
  <c r="C12" i="11"/>
  <c r="D11" i="11"/>
  <c r="E11" i="11"/>
  <c r="F11" i="11"/>
  <c r="G11" i="11"/>
  <c r="H11" i="11"/>
  <c r="I11" i="11"/>
  <c r="J11" i="11"/>
  <c r="C11" i="11"/>
  <c r="D10" i="11"/>
  <c r="E10" i="11"/>
  <c r="F10" i="11"/>
  <c r="C10" i="11"/>
  <c r="D9" i="11"/>
  <c r="E9" i="11"/>
  <c r="F9" i="11"/>
  <c r="C9" i="11"/>
  <c r="D8" i="11"/>
  <c r="E8" i="11"/>
  <c r="F8" i="11"/>
  <c r="C8" i="11"/>
  <c r="D7" i="11"/>
  <c r="E7" i="11"/>
  <c r="F7" i="11"/>
  <c r="J7" i="11"/>
  <c r="C7" i="11"/>
  <c r="D6" i="11"/>
  <c r="E6" i="11"/>
  <c r="F6" i="11"/>
  <c r="J6" i="11"/>
  <c r="C6" i="11"/>
  <c r="D5" i="11"/>
  <c r="E5" i="11"/>
  <c r="C5" i="11"/>
  <c r="D4" i="11"/>
  <c r="E4" i="11"/>
  <c r="F4" i="11"/>
  <c r="J4" i="11"/>
  <c r="C4" i="11"/>
  <c r="F4" i="5"/>
  <c r="G4" i="5"/>
  <c r="H4" i="5"/>
  <c r="I4" i="5"/>
  <c r="E4" i="5"/>
  <c r="E5" i="5" s="1"/>
  <c r="F23" i="1" s="1"/>
  <c r="E13" i="5"/>
  <c r="F22" i="1" s="1"/>
  <c r="E12" i="5"/>
  <c r="F12" i="5"/>
  <c r="G12" i="5"/>
  <c r="H12" i="5"/>
  <c r="I12" i="5"/>
  <c r="F9" i="5"/>
  <c r="G9" i="5" s="1"/>
  <c r="H9" i="5" s="1"/>
  <c r="I9" i="5" s="1"/>
  <c r="E9" i="5"/>
  <c r="E3" i="5"/>
  <c r="G63" i="10"/>
  <c r="H63" i="10" s="1"/>
  <c r="I63" i="10" s="1"/>
  <c r="J63" i="10" s="1"/>
  <c r="F63" i="10"/>
  <c r="D63" i="10"/>
  <c r="E63" i="10"/>
  <c r="C63" i="10"/>
  <c r="G62" i="10"/>
  <c r="H62" i="10"/>
  <c r="I62" i="10" s="1"/>
  <c r="J62" i="10" s="1"/>
  <c r="F62" i="10"/>
  <c r="E62" i="10"/>
  <c r="D62" i="10"/>
  <c r="F52" i="10"/>
  <c r="F51" i="10"/>
  <c r="F50" i="10"/>
  <c r="F49" i="10"/>
  <c r="G42" i="10"/>
  <c r="H42" i="10"/>
  <c r="I42" i="10"/>
  <c r="J42" i="10"/>
  <c r="G43" i="10"/>
  <c r="H43" i="10"/>
  <c r="I43" i="10"/>
  <c r="J43" i="10"/>
  <c r="G44" i="10"/>
  <c r="H44" i="10"/>
  <c r="I44" i="10"/>
  <c r="J44" i="10"/>
  <c r="G45" i="10"/>
  <c r="H45" i="10"/>
  <c r="I45" i="10"/>
  <c r="J45" i="10"/>
  <c r="G46" i="10"/>
  <c r="H46" i="10"/>
  <c r="I46" i="10"/>
  <c r="J46" i="10"/>
  <c r="F46" i="10"/>
  <c r="F40" i="3" s="1"/>
  <c r="F45" i="10"/>
  <c r="F38" i="3" s="1"/>
  <c r="F44" i="10"/>
  <c r="F36" i="3" s="1"/>
  <c r="F43" i="10"/>
  <c r="F34" i="3" s="1"/>
  <c r="F42" i="10"/>
  <c r="F32" i="3" s="1"/>
  <c r="D52" i="10"/>
  <c r="E52" i="10"/>
  <c r="C52" i="10"/>
  <c r="D51" i="10"/>
  <c r="E51" i="10"/>
  <c r="C51" i="10"/>
  <c r="D50" i="10"/>
  <c r="E50" i="10"/>
  <c r="C50" i="10"/>
  <c r="D49" i="10"/>
  <c r="E49" i="10"/>
  <c r="C49" i="10"/>
  <c r="D44" i="10"/>
  <c r="E44" i="10"/>
  <c r="D45" i="10"/>
  <c r="E45" i="10"/>
  <c r="D46" i="10"/>
  <c r="E46" i="10"/>
  <c r="C46" i="10"/>
  <c r="C45" i="10"/>
  <c r="C44" i="10"/>
  <c r="D43" i="10"/>
  <c r="E43" i="10"/>
  <c r="C43" i="10"/>
  <c r="D42" i="10"/>
  <c r="E42" i="10"/>
  <c r="C42" i="10"/>
  <c r="F41" i="3"/>
  <c r="F4" i="3"/>
  <c r="F33" i="2"/>
  <c r="F16" i="3" s="1"/>
  <c r="F15" i="2"/>
  <c r="G15" i="2" s="1"/>
  <c r="H15" i="2" s="1"/>
  <c r="I15" i="2" s="1"/>
  <c r="J15" i="2" s="1"/>
  <c r="G10" i="2"/>
  <c r="H10" i="2"/>
  <c r="I10" i="2" s="1"/>
  <c r="J10" i="2" s="1"/>
  <c r="F10" i="2"/>
  <c r="G17" i="2"/>
  <c r="H17" i="2" s="1"/>
  <c r="I17" i="2" s="1"/>
  <c r="J17" i="2" s="1"/>
  <c r="F17" i="2"/>
  <c r="G29" i="2"/>
  <c r="H29" i="2" s="1"/>
  <c r="I29" i="2" s="1"/>
  <c r="J29" i="2" s="1"/>
  <c r="F29" i="2"/>
  <c r="F32" i="2"/>
  <c r="G32" i="2" s="1"/>
  <c r="H32" i="2" s="1"/>
  <c r="I32" i="2" s="1"/>
  <c r="J32" i="2" s="1"/>
  <c r="G34" i="2"/>
  <c r="H34" i="2" s="1"/>
  <c r="I34" i="2" s="1"/>
  <c r="J34" i="2" s="1"/>
  <c r="F34" i="2"/>
  <c r="F12" i="1"/>
  <c r="F13" i="1"/>
  <c r="G7" i="10"/>
  <c r="H7" i="10" s="1"/>
  <c r="I7" i="10" s="1"/>
  <c r="J7" i="10" s="1"/>
  <c r="F7" i="10"/>
  <c r="G8" i="10"/>
  <c r="H8" i="10" s="1"/>
  <c r="I8" i="10" s="1"/>
  <c r="J8" i="10" s="1"/>
  <c r="F8" i="10"/>
  <c r="G9" i="10"/>
  <c r="H9" i="10" s="1"/>
  <c r="I9" i="10" s="1"/>
  <c r="J9" i="10" s="1"/>
  <c r="F9" i="10"/>
  <c r="G14" i="10"/>
  <c r="H14" i="10" s="1"/>
  <c r="I14" i="10" s="1"/>
  <c r="J14" i="10" s="1"/>
  <c r="F14" i="10"/>
  <c r="G15" i="10"/>
  <c r="H15" i="10" s="1"/>
  <c r="I15" i="10" s="1"/>
  <c r="J15" i="10" s="1"/>
  <c r="F15" i="10"/>
  <c r="G16" i="10"/>
  <c r="H16" i="10" s="1"/>
  <c r="I16" i="10" s="1"/>
  <c r="J16" i="10" s="1"/>
  <c r="F16" i="10"/>
  <c r="F61" i="10"/>
  <c r="G61" i="10" s="1"/>
  <c r="H61" i="10" s="1"/>
  <c r="I61" i="10" s="1"/>
  <c r="J61" i="10" s="1"/>
  <c r="G26" i="10"/>
  <c r="H26" i="10"/>
  <c r="I26" i="10"/>
  <c r="J26" i="10"/>
  <c r="F26" i="10"/>
  <c r="G28" i="10"/>
  <c r="H28" i="10"/>
  <c r="I28" i="10" s="1"/>
  <c r="J28" i="10" s="1"/>
  <c r="F28" i="10"/>
  <c r="G6" i="2"/>
  <c r="H6" i="2" s="1"/>
  <c r="I6" i="2" s="1"/>
  <c r="J6" i="2" s="1"/>
  <c r="F6" i="2"/>
  <c r="J8" i="3"/>
  <c r="F8" i="3"/>
  <c r="C31" i="10"/>
  <c r="C34" i="10" s="1"/>
  <c r="C35" i="10" s="1"/>
  <c r="G27" i="2"/>
  <c r="H27" i="2" s="1"/>
  <c r="I27" i="2" s="1"/>
  <c r="J27" i="2" s="1"/>
  <c r="G28" i="2"/>
  <c r="H28" i="2" s="1"/>
  <c r="I28" i="2" s="1"/>
  <c r="J28" i="2" s="1"/>
  <c r="F28" i="2"/>
  <c r="F27" i="2"/>
  <c r="J5" i="1"/>
  <c r="F5" i="1"/>
  <c r="G31" i="10"/>
  <c r="H31" i="10"/>
  <c r="I31" i="10"/>
  <c r="J31" i="10"/>
  <c r="J33" i="10" s="1"/>
  <c r="F31" i="10"/>
  <c r="F33" i="10" s="1"/>
  <c r="E54" i="10"/>
  <c r="F40" i="10" s="1"/>
  <c r="C32" i="10"/>
  <c r="C37" i="10" s="1"/>
  <c r="C38" i="10" s="1"/>
  <c r="J32" i="10"/>
  <c r="F32" i="10"/>
  <c r="D22" i="1"/>
  <c r="E22" i="1"/>
  <c r="C22" i="1"/>
  <c r="C13" i="5"/>
  <c r="D13" i="5"/>
  <c r="B13" i="5"/>
  <c r="D23" i="1"/>
  <c r="E23" i="1"/>
  <c r="C23" i="1"/>
  <c r="E57" i="10"/>
  <c r="D57" i="10"/>
  <c r="E14" i="10"/>
  <c r="D14" i="10"/>
  <c r="D54" i="10"/>
  <c r="D40" i="10"/>
  <c r="D41" i="10" s="1"/>
  <c r="E40" i="10"/>
  <c r="E41" i="10" s="1"/>
  <c r="G41" i="10" s="1"/>
  <c r="H41" i="10" s="1"/>
  <c r="I41" i="10" s="1"/>
  <c r="J41" i="10" s="1"/>
  <c r="C40" i="10"/>
  <c r="C47" i="10"/>
  <c r="E15" i="10"/>
  <c r="D15" i="10"/>
  <c r="E16" i="10"/>
  <c r="D16" i="10"/>
  <c r="C16" i="10"/>
  <c r="G43" i="3"/>
  <c r="H43" i="3"/>
  <c r="I43" i="3"/>
  <c r="J43" i="3"/>
  <c r="F43" i="3"/>
  <c r="D58" i="10"/>
  <c r="D59" i="10" s="1"/>
  <c r="E58" i="10"/>
  <c r="E59" i="10" s="1"/>
  <c r="C58" i="10"/>
  <c r="C59" i="10" s="1"/>
  <c r="D47" i="10"/>
  <c r="E47" i="10"/>
  <c r="D56" i="10"/>
  <c r="E56" i="10"/>
  <c r="C56" i="10"/>
  <c r="D6" i="10"/>
  <c r="E6" i="10"/>
  <c r="C6" i="10"/>
  <c r="C26" i="10" s="1"/>
  <c r="C27" i="10" s="1"/>
  <c r="C13" i="10"/>
  <c r="D31" i="10"/>
  <c r="D34" i="10" s="1"/>
  <c r="D35" i="10" s="1"/>
  <c r="E31" i="10"/>
  <c r="E34" i="10" s="1"/>
  <c r="D39" i="2"/>
  <c r="E39" i="2"/>
  <c r="C39" i="2"/>
  <c r="C12" i="10"/>
  <c r="D4" i="10"/>
  <c r="D60" i="10" s="1"/>
  <c r="E4" i="10"/>
  <c r="E60" i="10" s="1"/>
  <c r="C4" i="10"/>
  <c r="C60" i="10" s="1"/>
  <c r="D32" i="10"/>
  <c r="D37" i="10" s="1"/>
  <c r="D38" i="10" s="1"/>
  <c r="E32" i="10"/>
  <c r="E37" i="10" s="1"/>
  <c r="G12" i="8"/>
  <c r="C12" i="8"/>
  <c r="D12" i="8"/>
  <c r="E12" i="8"/>
  <c r="F12" i="8"/>
  <c r="B12" i="8"/>
  <c r="C5" i="5"/>
  <c r="D5" i="5"/>
  <c r="B5" i="5"/>
  <c r="C12" i="5"/>
  <c r="D12" i="5"/>
  <c r="B12" i="5"/>
  <c r="C14" i="9"/>
  <c r="D14" i="9"/>
  <c r="B14" i="9"/>
  <c r="C13" i="9"/>
  <c r="D13" i="9"/>
  <c r="B13" i="9"/>
  <c r="C9" i="4"/>
  <c r="D9" i="4"/>
  <c r="B9" i="4"/>
  <c r="D44" i="3"/>
  <c r="E44" i="3"/>
  <c r="C44" i="3"/>
  <c r="E29" i="3"/>
  <c r="D29" i="3"/>
  <c r="D47" i="3" s="1"/>
  <c r="C29" i="3"/>
  <c r="D22" i="3"/>
  <c r="E22" i="3"/>
  <c r="E47" i="3" s="1"/>
  <c r="C22" i="3"/>
  <c r="C17" i="1"/>
  <c r="D15" i="1"/>
  <c r="E15" i="1"/>
  <c r="C15" i="1"/>
  <c r="D11" i="1"/>
  <c r="E11" i="1"/>
  <c r="C11" i="1"/>
  <c r="D19" i="2"/>
  <c r="E19" i="2"/>
  <c r="D11" i="2"/>
  <c r="D20" i="2" s="1"/>
  <c r="E11" i="2"/>
  <c r="E20" i="2" s="1"/>
  <c r="C11" i="2"/>
  <c r="C19" i="2"/>
  <c r="D25" i="2"/>
  <c r="E25" i="2"/>
  <c r="C25" i="2"/>
  <c r="E35" i="2"/>
  <c r="E37" i="2" s="1"/>
  <c r="D35" i="2"/>
  <c r="D37" i="2" s="1"/>
  <c r="C35" i="2"/>
  <c r="C47" i="3" l="1"/>
  <c r="C48" i="3" s="1"/>
  <c r="E38" i="10"/>
  <c r="F37" i="10"/>
  <c r="G37" i="10"/>
  <c r="E35" i="10"/>
  <c r="F34" i="10"/>
  <c r="F7" i="2" s="1"/>
  <c r="H49" i="10"/>
  <c r="G49" i="10"/>
  <c r="I49" i="10"/>
  <c r="J49" i="10"/>
  <c r="H50" i="10"/>
  <c r="J50" i="10"/>
  <c r="H51" i="10"/>
  <c r="G50" i="10"/>
  <c r="I50" i="10"/>
  <c r="G51" i="10"/>
  <c r="J51" i="10"/>
  <c r="H52" i="10"/>
  <c r="J52" i="10"/>
  <c r="I51" i="10"/>
  <c r="G52" i="10"/>
  <c r="I52" i="10"/>
  <c r="D12" i="10"/>
  <c r="D17" i="1"/>
  <c r="D13" i="10" s="1"/>
  <c r="E12" i="10"/>
  <c r="E17" i="1"/>
  <c r="E13" i="10" s="1"/>
  <c r="F13" i="10" s="1"/>
  <c r="G13" i="10" s="1"/>
  <c r="H13" i="10" s="1"/>
  <c r="I13" i="10" s="1"/>
  <c r="J13" i="10" s="1"/>
  <c r="F12" i="3"/>
  <c r="F20" i="3" s="1"/>
  <c r="F38" i="10"/>
  <c r="E36" i="10"/>
  <c r="D36" i="10"/>
  <c r="F41" i="10"/>
  <c r="F47" i="10"/>
  <c r="G10" i="1"/>
  <c r="G10" i="3" s="1"/>
  <c r="H10" i="1"/>
  <c r="H10" i="3" s="1"/>
  <c r="I10" i="1"/>
  <c r="I10" i="3" s="1"/>
  <c r="J10" i="1"/>
  <c r="J10" i="3" s="1"/>
  <c r="F10" i="1"/>
  <c r="C33" i="10"/>
  <c r="F60" i="10"/>
  <c r="F16" i="2" s="1"/>
  <c r="I60" i="10"/>
  <c r="G60" i="10"/>
  <c r="J60" i="10"/>
  <c r="J16" i="2" s="1"/>
  <c r="H60" i="10"/>
  <c r="C48" i="10"/>
  <c r="C53" i="10"/>
  <c r="D48" i="10"/>
  <c r="D53" i="10"/>
  <c r="E48" i="10"/>
  <c r="E53" i="10"/>
  <c r="D61" i="10"/>
  <c r="E61" i="10"/>
  <c r="C61" i="10"/>
  <c r="D4" i="3"/>
  <c r="D48" i="3" s="1"/>
  <c r="E4" i="3" s="1"/>
  <c r="E48" i="3" s="1"/>
  <c r="E33" i="10"/>
  <c r="D33" i="10"/>
  <c r="D28" i="10"/>
  <c r="D24" i="10"/>
  <c r="D25" i="10" s="1"/>
  <c r="E28" i="10"/>
  <c r="E24" i="10"/>
  <c r="E25" i="10" s="1"/>
  <c r="C5" i="10"/>
  <c r="C28" i="10"/>
  <c r="C24" i="10"/>
  <c r="C25" i="10" s="1"/>
  <c r="D26" i="10"/>
  <c r="D27" i="10" s="1"/>
  <c r="D22" i="10"/>
  <c r="D23" i="10" s="1"/>
  <c r="E26" i="10"/>
  <c r="E27" i="10" s="1"/>
  <c r="E22" i="10"/>
  <c r="E23" i="10" s="1"/>
  <c r="C22" i="10"/>
  <c r="C23" i="10" s="1"/>
  <c r="D5" i="10"/>
  <c r="D7" i="10"/>
  <c r="D8" i="10"/>
  <c r="D9" i="10"/>
  <c r="D10" i="10"/>
  <c r="E10" i="10"/>
  <c r="E5" i="10"/>
  <c r="E8" i="10"/>
  <c r="E9" i="10"/>
  <c r="E7" i="10"/>
  <c r="C9" i="10"/>
  <c r="C10" i="10"/>
  <c r="C7" i="10"/>
  <c r="C8" i="10"/>
  <c r="C20" i="2"/>
  <c r="C37" i="2"/>
  <c r="F10" i="3" l="1"/>
  <c r="F9" i="2"/>
  <c r="G9" i="2" s="1"/>
  <c r="H9" i="2" s="1"/>
  <c r="I9" i="2" s="1"/>
  <c r="J9" i="2" s="1"/>
  <c r="G38" i="10"/>
  <c r="H37" i="10"/>
  <c r="G34" i="10"/>
  <c r="F35" i="10"/>
  <c r="F25" i="3"/>
  <c r="F35" i="3"/>
  <c r="F39" i="3"/>
  <c r="F37" i="3"/>
  <c r="F33" i="3"/>
  <c r="F53" i="10"/>
  <c r="F30" i="2"/>
  <c r="G13" i="1" s="1"/>
  <c r="C11" i="10"/>
  <c r="D11" i="10"/>
  <c r="F31" i="2"/>
  <c r="F18" i="3" s="1"/>
  <c r="J14" i="2"/>
  <c r="F14" i="2"/>
  <c r="G24" i="10"/>
  <c r="I24" i="10"/>
  <c r="J24" i="10"/>
  <c r="J25" i="10" s="1"/>
  <c r="J13" i="2" s="1"/>
  <c r="F24" i="10"/>
  <c r="F25" i="10" s="1"/>
  <c r="F13" i="2" s="1"/>
  <c r="F15" i="3" s="1"/>
  <c r="H24" i="10"/>
  <c r="I22" i="10"/>
  <c r="H22" i="10"/>
  <c r="J22" i="10"/>
  <c r="G22" i="10"/>
  <c r="F22" i="10"/>
  <c r="F7" i="1"/>
  <c r="J7" i="1"/>
  <c r="J8" i="1"/>
  <c r="F8" i="1"/>
  <c r="E11" i="10"/>
  <c r="G10" i="10"/>
  <c r="J10" i="10"/>
  <c r="J9" i="1" s="1"/>
  <c r="H10" i="10"/>
  <c r="F10" i="10"/>
  <c r="F9" i="1" s="1"/>
  <c r="I10" i="10"/>
  <c r="I37" i="10" l="1"/>
  <c r="H38" i="10"/>
  <c r="G35" i="10"/>
  <c r="G26" i="3" s="1"/>
  <c r="G25" i="3"/>
  <c r="H34" i="10"/>
  <c r="F8" i="2"/>
  <c r="F26" i="3"/>
  <c r="F29" i="3" s="1"/>
  <c r="F11" i="3"/>
  <c r="F19" i="3" s="1"/>
  <c r="F17" i="3"/>
  <c r="G40" i="10"/>
  <c r="F14" i="1"/>
  <c r="J31" i="2"/>
  <c r="F11" i="10"/>
  <c r="F6" i="10"/>
  <c r="J11" i="10"/>
  <c r="J6" i="10"/>
  <c r="G29" i="3" l="1"/>
  <c r="I38" i="10"/>
  <c r="J37" i="10"/>
  <c r="J38" i="10" s="1"/>
  <c r="H35" i="10"/>
  <c r="H26" i="3" s="1"/>
  <c r="H25" i="3"/>
  <c r="I34" i="10"/>
  <c r="G40" i="3"/>
  <c r="G34" i="3"/>
  <c r="G36" i="3"/>
  <c r="G38" i="3"/>
  <c r="G32" i="3"/>
  <c r="G47" i="10"/>
  <c r="F6" i="1"/>
  <c r="F11" i="1" s="1"/>
  <c r="F15" i="1" s="1"/>
  <c r="F16" i="1" s="1"/>
  <c r="F23" i="10"/>
  <c r="F12" i="2" s="1"/>
  <c r="F27" i="10"/>
  <c r="F35" i="2" s="1"/>
  <c r="J6" i="1"/>
  <c r="J11" i="1" s="1"/>
  <c r="J27" i="10"/>
  <c r="J33" i="2" s="1"/>
  <c r="J23" i="10"/>
  <c r="J12" i="2" s="1"/>
  <c r="C36" i="10"/>
  <c r="F11" i="2"/>
  <c r="H29" i="3" l="1"/>
  <c r="I25" i="3"/>
  <c r="J34" i="10"/>
  <c r="I35" i="10"/>
  <c r="I26" i="3" s="1"/>
  <c r="G33" i="3"/>
  <c r="G35" i="3"/>
  <c r="G37" i="3"/>
  <c r="G39" i="3"/>
  <c r="G53" i="10"/>
  <c r="G30" i="2"/>
  <c r="F14" i="3"/>
  <c r="F17" i="1"/>
  <c r="F7" i="3"/>
  <c r="F21" i="3" s="1"/>
  <c r="G12" i="3"/>
  <c r="G20" i="3" s="1"/>
  <c r="J25" i="3" l="1"/>
  <c r="J35" i="10"/>
  <c r="J26" i="3" s="1"/>
  <c r="I29" i="3"/>
  <c r="H13" i="1"/>
  <c r="H40" i="10"/>
  <c r="H47" i="10"/>
  <c r="F6" i="3"/>
  <c r="F22" i="3" s="1"/>
  <c r="F20" i="1"/>
  <c r="J29" i="3" l="1"/>
  <c r="H36" i="3"/>
  <c r="H32" i="3"/>
  <c r="H38" i="3"/>
  <c r="H34" i="3"/>
  <c r="H40" i="3"/>
  <c r="H30" i="2"/>
  <c r="I13" i="1" s="1"/>
  <c r="H53" i="10"/>
  <c r="H35" i="3"/>
  <c r="H33" i="3"/>
  <c r="H37" i="3"/>
  <c r="H39" i="3"/>
  <c r="F24" i="2"/>
  <c r="F19" i="1"/>
  <c r="I40" i="10"/>
  <c r="H12" i="3"/>
  <c r="H20" i="3" s="1"/>
  <c r="I38" i="3" l="1"/>
  <c r="I36" i="3"/>
  <c r="I34" i="3"/>
  <c r="I40" i="3"/>
  <c r="I32" i="3"/>
  <c r="I47" i="10"/>
  <c r="F23" i="2"/>
  <c r="G41" i="3"/>
  <c r="G44" i="3" s="1"/>
  <c r="F59" i="10"/>
  <c r="I35" i="3" l="1"/>
  <c r="I39" i="3"/>
  <c r="I37" i="3"/>
  <c r="I33" i="3"/>
  <c r="I53" i="10"/>
  <c r="I30" i="2"/>
  <c r="F25" i="2"/>
  <c r="F37" i="2" s="1"/>
  <c r="I12" i="3"/>
  <c r="I20" i="3" s="1"/>
  <c r="J13" i="1" l="1"/>
  <c r="J40" i="10"/>
  <c r="J47" i="10" s="1"/>
  <c r="J36" i="3" l="1"/>
  <c r="J34" i="3"/>
  <c r="J38" i="3"/>
  <c r="J32" i="3"/>
  <c r="J40" i="3"/>
  <c r="J39" i="3"/>
  <c r="J35" i="3"/>
  <c r="J37" i="3"/>
  <c r="J33" i="3"/>
  <c r="J30" i="2"/>
  <c r="J35" i="2" s="1"/>
  <c r="J53" i="10"/>
  <c r="J12" i="3"/>
  <c r="J20" i="3" s="1"/>
  <c r="F44" i="3" l="1"/>
  <c r="F47" i="3" s="1"/>
  <c r="F48" i="3" s="1"/>
  <c r="G4" i="3" l="1"/>
  <c r="F18" i="2"/>
  <c r="F19" i="2" l="1"/>
  <c r="F20" i="2" s="1"/>
  <c r="F39" i="2" s="1"/>
  <c r="G12" i="1"/>
  <c r="G14" i="1" l="1"/>
  <c r="G11" i="3"/>
  <c r="G19" i="3" s="1"/>
  <c r="G4" i="10" l="1"/>
  <c r="G5" i="1"/>
  <c r="F5" i="11"/>
  <c r="G5" i="11"/>
  <c r="G11" i="10"/>
  <c r="G16" i="2"/>
  <c r="G31" i="2" l="1"/>
  <c r="G18" i="3" s="1"/>
  <c r="G6" i="10"/>
  <c r="G32" i="10"/>
  <c r="G14" i="2"/>
  <c r="G33" i="10"/>
  <c r="G19" i="11" s="1"/>
  <c r="G25" i="10"/>
  <c r="G13" i="2" s="1"/>
  <c r="G15" i="3" s="1"/>
  <c r="G8" i="1"/>
  <c r="G4" i="11"/>
  <c r="G9" i="1"/>
  <c r="G7" i="1"/>
  <c r="H4" i="10"/>
  <c r="H5" i="11"/>
  <c r="G27" i="10"/>
  <c r="G33" i="2" s="1"/>
  <c r="G17" i="3"/>
  <c r="G23" i="10" l="1"/>
  <c r="G12" i="2" s="1"/>
  <c r="G14" i="3" s="1"/>
  <c r="G6" i="1"/>
  <c r="G11" i="1" s="1"/>
  <c r="G8" i="3"/>
  <c r="G7" i="2"/>
  <c r="G8" i="2"/>
  <c r="H11" i="10"/>
  <c r="H31" i="2"/>
  <c r="H6" i="10"/>
  <c r="H33" i="10"/>
  <c r="H19" i="11" s="1"/>
  <c r="H32" i="10"/>
  <c r="H25" i="10"/>
  <c r="H13" i="2" s="1"/>
  <c r="H15" i="3" s="1"/>
  <c r="H16" i="2"/>
  <c r="H14" i="2"/>
  <c r="I4" i="10"/>
  <c r="H5" i="1"/>
  <c r="J5" i="11"/>
  <c r="I5" i="11"/>
  <c r="G35" i="2"/>
  <c r="G16" i="3"/>
  <c r="G15" i="1" l="1"/>
  <c r="G6" i="11"/>
  <c r="G7" i="11" s="1"/>
  <c r="H7" i="2"/>
  <c r="G11" i="2"/>
  <c r="H23" i="10"/>
  <c r="H12" i="2" s="1"/>
  <c r="H6" i="1"/>
  <c r="H27" i="10"/>
  <c r="H33" i="2" s="1"/>
  <c r="H8" i="2"/>
  <c r="H8" i="3"/>
  <c r="H17" i="3"/>
  <c r="I16" i="2"/>
  <c r="I33" i="10"/>
  <c r="I19" i="11" s="1"/>
  <c r="I31" i="2"/>
  <c r="I25" i="10"/>
  <c r="I13" i="2" s="1"/>
  <c r="I6" i="10"/>
  <c r="I11" i="10"/>
  <c r="I32" i="10"/>
  <c r="I8" i="3" s="1"/>
  <c r="I14" i="2"/>
  <c r="I5" i="1"/>
  <c r="H7" i="1"/>
  <c r="H8" i="1"/>
  <c r="H9" i="1"/>
  <c r="H4" i="11"/>
  <c r="G16" i="1"/>
  <c r="G7" i="3" s="1"/>
  <c r="G21" i="3" s="1"/>
  <c r="G17" i="1"/>
  <c r="I7" i="2"/>
  <c r="H18" i="3"/>
  <c r="H11" i="1" l="1"/>
  <c r="H14" i="3"/>
  <c r="H35" i="2"/>
  <c r="H16" i="3"/>
  <c r="J18" i="3"/>
  <c r="I18" i="3"/>
  <c r="I15" i="3"/>
  <c r="J15" i="3"/>
  <c r="I6" i="1"/>
  <c r="I27" i="10"/>
  <c r="I33" i="2" s="1"/>
  <c r="I23" i="10"/>
  <c r="I12" i="2" s="1"/>
  <c r="J17" i="3"/>
  <c r="I17" i="3"/>
  <c r="I7" i="1"/>
  <c r="I9" i="1"/>
  <c r="I8" i="1"/>
  <c r="I11" i="1" s="1"/>
  <c r="I4" i="11"/>
  <c r="H6" i="11"/>
  <c r="H7" i="11" s="1"/>
  <c r="G6" i="3"/>
  <c r="G22" i="3" s="1"/>
  <c r="G20" i="1"/>
  <c r="J7" i="2"/>
  <c r="I8" i="2"/>
  <c r="H11" i="2"/>
  <c r="J8" i="2" l="1"/>
  <c r="J11" i="2" s="1"/>
  <c r="I11" i="2"/>
  <c r="I35" i="2"/>
  <c r="I16" i="3"/>
  <c r="J16" i="3"/>
  <c r="J14" i="3"/>
  <c r="I14" i="3"/>
  <c r="I6" i="11"/>
  <c r="I7" i="11" s="1"/>
  <c r="G47" i="3"/>
  <c r="G48" i="3" s="1"/>
  <c r="G13" i="11"/>
  <c r="G24" i="2"/>
  <c r="G19" i="1"/>
  <c r="G18" i="2" l="1"/>
  <c r="H4" i="3"/>
  <c r="F3" i="5"/>
  <c r="G8" i="11"/>
  <c r="G23" i="2"/>
  <c r="G59" i="10"/>
  <c r="H41" i="3"/>
  <c r="H44" i="3" s="1"/>
  <c r="H12" i="1" l="1"/>
  <c r="G19" i="2"/>
  <c r="G20" i="2" s="1"/>
  <c r="G12" i="11"/>
  <c r="F5" i="5"/>
  <c r="G23" i="1" s="1"/>
  <c r="G9" i="11" s="1"/>
  <c r="F13" i="5"/>
  <c r="G22" i="1" s="1"/>
  <c r="G25" i="2"/>
  <c r="G37" i="2" s="1"/>
  <c r="G39" i="2" l="1"/>
  <c r="H15" i="1"/>
  <c r="H11" i="3"/>
  <c r="H19" i="3" s="1"/>
  <c r="H14" i="1"/>
  <c r="H16" i="1" l="1"/>
  <c r="H7" i="3" l="1"/>
  <c r="H21" i="3" s="1"/>
  <c r="H17" i="1"/>
  <c r="H20" i="1" l="1"/>
  <c r="H6" i="3"/>
  <c r="H22" i="3" s="1"/>
  <c r="H47" i="3" l="1"/>
  <c r="H48" i="3" s="1"/>
  <c r="H13" i="11"/>
  <c r="H24" i="2"/>
  <c r="H19" i="1"/>
  <c r="H18" i="2" l="1"/>
  <c r="I4" i="3"/>
  <c r="G3" i="5"/>
  <c r="I41" i="3"/>
  <c r="I44" i="3" s="1"/>
  <c r="H8" i="11"/>
  <c r="H59" i="10"/>
  <c r="H23" i="2"/>
  <c r="H19" i="2" l="1"/>
  <c r="H20" i="2" s="1"/>
  <c r="I12" i="1"/>
  <c r="H10" i="11"/>
  <c r="H12" i="11" s="1"/>
  <c r="G5" i="5"/>
  <c r="H23" i="1" s="1"/>
  <c r="H9" i="11" s="1"/>
  <c r="G13" i="5"/>
  <c r="H22" i="1" s="1"/>
  <c r="H25" i="2"/>
  <c r="H37" i="2" s="1"/>
  <c r="I15" i="1" l="1"/>
  <c r="I14" i="1"/>
  <c r="I11" i="3"/>
  <c r="I19" i="3" s="1"/>
  <c r="H39" i="2"/>
  <c r="I16" i="1" l="1"/>
  <c r="I7" i="3" l="1"/>
  <c r="I21" i="3" s="1"/>
  <c r="I17" i="1"/>
  <c r="I6" i="3" l="1"/>
  <c r="I22" i="3" s="1"/>
  <c r="I20" i="1"/>
  <c r="I24" i="2" l="1"/>
  <c r="I19" i="1"/>
  <c r="I23" i="2"/>
  <c r="J41" i="3"/>
  <c r="J44" i="3" s="1"/>
  <c r="H3" i="5"/>
  <c r="I47" i="3"/>
  <c r="I48" i="3" s="1"/>
  <c r="I13" i="11"/>
  <c r="I59" i="10" l="1"/>
  <c r="I8" i="11"/>
  <c r="I25" i="2"/>
  <c r="I37" i="2" s="1"/>
  <c r="H5" i="5"/>
  <c r="I23" i="1" s="1"/>
  <c r="I9" i="11" s="1"/>
  <c r="H13" i="5"/>
  <c r="I22" i="1" s="1"/>
  <c r="J4" i="3"/>
  <c r="I18" i="2"/>
  <c r="I19" i="2" l="1"/>
  <c r="I20" i="2" s="1"/>
  <c r="I39" i="2" s="1"/>
  <c r="J12" i="1"/>
  <c r="I10" i="11"/>
  <c r="I12" i="11" s="1"/>
  <c r="J15" i="1" l="1"/>
  <c r="J11" i="3"/>
  <c r="J19" i="3" s="1"/>
  <c r="J14" i="1"/>
  <c r="J16" i="1" l="1"/>
  <c r="J7" i="3" l="1"/>
  <c r="J21" i="3" s="1"/>
  <c r="J17" i="1"/>
  <c r="J19" i="1" l="1"/>
  <c r="J6" i="3"/>
  <c r="J22" i="3" s="1"/>
  <c r="J20" i="1"/>
  <c r="J24" i="2" s="1"/>
  <c r="J23" i="2" l="1"/>
  <c r="J25" i="2" s="1"/>
  <c r="J37" i="2" s="1"/>
  <c r="J8" i="11"/>
  <c r="I3" i="5"/>
  <c r="J59" i="10"/>
  <c r="J47" i="3"/>
  <c r="J48" i="3" s="1"/>
  <c r="J18" i="2" s="1"/>
  <c r="J13" i="11"/>
  <c r="I5" i="5" l="1"/>
  <c r="J23" i="1" s="1"/>
  <c r="J9" i="11" s="1"/>
  <c r="I13" i="5"/>
  <c r="J22" i="1" s="1"/>
  <c r="J10" i="11"/>
  <c r="J12" i="11" s="1"/>
  <c r="J19" i="2"/>
  <c r="J20" i="2" s="1"/>
  <c r="J39" i="2" s="1"/>
</calcChain>
</file>

<file path=xl/sharedStrings.xml><?xml version="1.0" encoding="utf-8"?>
<sst xmlns="http://schemas.openxmlformats.org/spreadsheetml/2006/main" count="388" uniqueCount="268">
  <si>
    <t>Number o/ shares</t>
  </si>
  <si>
    <t>For the years ended December 31,</t>
  </si>
  <si>
    <t>(EUR thousand)</t>
  </si>
  <si>
    <t>—</t>
  </si>
  <si>
    <t>At December 31,</t>
  </si>
  <si>
    <t>FERRARI N.V.
CONSOLIDATED STATEMENT OF FINANCIAL POSITION AT DECEMBER 31, 2025 AND 2024</t>
  </si>
  <si>
    <t>Note</t>
  </si>
  <si>
    <t>Assets</t>
  </si>
  <si>
    <t>Goodwill</t>
  </si>
  <si>
    <t>Intangible assets</t>
  </si>
  <si>
    <t>Property, plant and equipment</t>
  </si>
  <si>
    <t>Investments and other financial assets</t>
  </si>
  <si>
    <t>Deferred tax assets</t>
  </si>
  <si>
    <t>Total non-current assets</t>
  </si>
  <si>
    <t>Inventories</t>
  </si>
  <si>
    <t>Trade receivables</t>
  </si>
  <si>
    <t>Receivables from financing activities</t>
  </si>
  <si>
    <t>Tax receivables</t>
  </si>
  <si>
    <t>Other current assets</t>
  </si>
  <si>
    <t>Current financial assets</t>
  </si>
  <si>
    <t>Cash and cash equivalents</t>
  </si>
  <si>
    <t>Total current assets</t>
  </si>
  <si>
    <t>Total assets</t>
  </si>
  <si>
    <t>Equity and liabilities</t>
  </si>
  <si>
    <t>Equity attributable to owners of the parent</t>
  </si>
  <si>
    <t>Non-controlling interests</t>
  </si>
  <si>
    <t>Total equity</t>
  </si>
  <si>
    <t>Employee benefits</t>
  </si>
  <si>
    <t>Provisions</t>
  </si>
  <si>
    <t>Deferred tax liabilities</t>
  </si>
  <si>
    <t>Debt</t>
  </si>
  <si>
    <t>Other liabilities</t>
  </si>
  <si>
    <t>Other financial liabilities</t>
  </si>
  <si>
    <t>Trade payables</t>
  </si>
  <si>
    <t>Tax payables</t>
  </si>
  <si>
    <t>Total equity and liabilities</t>
  </si>
  <si>
    <t>Operating profit (EBIT)</t>
  </si>
  <si>
    <t>Profit before taxes</t>
  </si>
  <si>
    <t>Net revenues</t>
  </si>
  <si>
    <t>Research and development costs</t>
  </si>
  <si>
    <t>Other expenses, net</t>
  </si>
  <si>
    <t>Result from investments</t>
  </si>
  <si>
    <t>Financial income</t>
  </si>
  <si>
    <t>Financial expenses</t>
  </si>
  <si>
    <t>Financial expenses/(income), net</t>
  </si>
  <si>
    <t>Income tax expense</t>
  </si>
  <si>
    <t>Net profit attributable to:</t>
  </si>
  <si>
    <t>Owners o/ the parent</t>
  </si>
  <si>
    <t>Basic earnings per common share (in €)</t>
  </si>
  <si>
    <t>Diluted earnings per common share (in €)</t>
  </si>
  <si>
    <t>Net profit</t>
  </si>
  <si>
    <t xml:space="preserve">Cash and cash equivalents at the beginning of the year                                                                                   </t>
  </si>
  <si>
    <t>Total cash flows from operating activities</t>
  </si>
  <si>
    <t>Cash flows used in investing activities:</t>
  </si>
  <si>
    <t>Total cash flows used in investing activities</t>
  </si>
  <si>
    <t>(€ thousand)</t>
  </si>
  <si>
    <t>Cash flows from operating activities:</t>
  </si>
  <si>
    <t>Cash flows used in financing activities:</t>
  </si>
  <si>
    <t>Total cash flows used in financing activities</t>
  </si>
  <si>
    <t>Amortization and depreciation</t>
  </si>
  <si>
    <t>14,15</t>
  </si>
  <si>
    <t>Provision accruals</t>
  </si>
  <si>
    <t>Other non-cash expenses, net</t>
  </si>
  <si>
    <t>Change in inventories</t>
  </si>
  <si>
    <t>Change in trade receivables</t>
  </si>
  <si>
    <t>Change in trade payables</t>
  </si>
  <si>
    <t>Change in receivables from financing activities</t>
  </si>
  <si>
    <t>Change in other operating assets and liabilities</t>
  </si>
  <si>
    <t>Finance income received</t>
  </si>
  <si>
    <t>Finance costs paid</t>
  </si>
  <si>
    <t>Income tax paid</t>
  </si>
  <si>
    <t>Investments in intangible assets</t>
  </si>
  <si>
    <t>Investments in property, plant and equipment</t>
  </si>
  <si>
    <t>Acquisition of subsidiary and other investments</t>
  </si>
  <si>
    <t>Proceeds from the sale of property, plant and equipment and intangible assets</t>
  </si>
  <si>
    <t>Repayments of bonds and notes</t>
  </si>
  <si>
    <t>Proceeds from bonds and notes</t>
  </si>
  <si>
    <t>Repayments of securitizations</t>
  </si>
  <si>
    <t>Proceeds from securitizations</t>
  </si>
  <si>
    <t>Repayments of borrowings from banks and other financial institutions</t>
  </si>
  <si>
    <t>Proceeds from borrowings from banks and other financial institutions</t>
  </si>
  <si>
    <t>Repayments of other debt</t>
  </si>
  <si>
    <t>Proceeds from other debt</t>
  </si>
  <si>
    <t>Repayments of lease liabilities</t>
  </si>
  <si>
    <t>Dividends paid to owners of the parent</t>
  </si>
  <si>
    <t>Dividends paid to non-controlling interests</t>
  </si>
  <si>
    <t>Share repurchases</t>
  </si>
  <si>
    <t>Translation exchange differences</t>
  </si>
  <si>
    <t>Total change in cash and cash equivalents</t>
  </si>
  <si>
    <t>Cash and cash equivalents at the end of the year</t>
  </si>
  <si>
    <r>
      <rPr>
        <b/>
        <sz val="9"/>
        <rFont val="Calibri"/>
        <family val="2"/>
        <scheme val="minor"/>
      </rPr>
      <t>FERRARI N.V. CONSOLIDATED INCOME STATEMENT
FOR THE YEARS ENDED DECEMBER 31, 2025, 2024 AND 2023</t>
    </r>
  </si>
  <si>
    <t>Current tax expense</t>
  </si>
  <si>
    <t>Deferred tax expense/(benefit)</t>
  </si>
  <si>
    <t>Taxes relating to prior years</t>
  </si>
  <si>
    <t>Total income tax expense</t>
  </si>
  <si>
    <t>Weighted average number of common shares for basic earnings per share</t>
  </si>
  <si>
    <t>Adjustments for calculation of diluted earnings per share:</t>
  </si>
  <si>
    <t>Share-based compensation</t>
  </si>
  <si>
    <t>Weighted average number of common shares for diluted earnings per share</t>
  </si>
  <si>
    <t>Movements in intangible assets are summarized below.</t>
  </si>
  <si>
    <t>Patents, concessions and lis9ns9s</t>
  </si>
  <si>
    <t>Total</t>
  </si>
  <si>
    <t>Gross carrying amount at December 31, 2023</t>
  </si>
  <si>
    <t>Additions</t>
  </si>
  <si>
    <t>Divestitures</t>
  </si>
  <si>
    <t>Reclassifications</t>
  </si>
  <si>
    <t>Translation differences and other movements</t>
  </si>
  <si>
    <t>Balance at December 31, 2024</t>
  </si>
  <si>
    <t>Balance at December 31, 2025</t>
  </si>
  <si>
    <t>Accumulated amortization at December 31, 2023</t>
  </si>
  <si>
    <t>Amortization</t>
  </si>
  <si>
    <t>Reclassification</t>
  </si>
  <si>
    <t>Carrying amount at:</t>
  </si>
  <si>
    <t>December 31, 2023</t>
  </si>
  <si>
    <t>December 31, 2024</t>
  </si>
  <si>
    <t>December 31, 2025</t>
  </si>
  <si>
    <r>
      <rPr>
        <b/>
        <sz val="9"/>
        <rFont val="Calibri"/>
        <family val="2"/>
        <scheme val="minor"/>
      </rPr>
      <t>Externally acquired development
costs</t>
    </r>
  </si>
  <si>
    <r>
      <rPr>
        <b/>
        <sz val="9"/>
        <rFont val="Calibri"/>
        <family val="2"/>
        <scheme val="minor"/>
      </rPr>
      <t>Development costs internally
generated</t>
    </r>
  </si>
  <si>
    <r>
      <rPr>
        <b/>
        <sz val="9"/>
        <rFont val="Calibri"/>
        <family val="2"/>
        <scheme val="minor"/>
      </rPr>
      <t>Other intangible
assets</t>
    </r>
  </si>
  <si>
    <t>Movements in property, plant and equipment are summarized below.</t>
  </si>
  <si>
    <t>Land</t>
  </si>
  <si>
    <t>Industrial buildings</t>
  </si>
  <si>
    <t>Plant, machinery and equipment</t>
  </si>
  <si>
    <t>Other assets</t>
  </si>
  <si>
    <t>Advances and assets under construction</t>
  </si>
  <si>
    <t>Accumulated depreciation at December 31, 2023</t>
  </si>
  <si>
    <t>Depreciation</t>
  </si>
  <si>
    <t>o/ which right-o/ use assets under IFRS 16</t>
  </si>
  <si>
    <t>Current</t>
  </si>
  <si>
    <t>Non-current</t>
  </si>
  <si>
    <t>Asset-backed financing (Securitizations)</t>
  </si>
  <si>
    <t>Bonds and notes</t>
  </si>
  <si>
    <t>Borrowings from banks and other financial institutions</t>
  </si>
  <si>
    <t>Lease liabilities</t>
  </si>
  <si>
    <t>Other debt</t>
  </si>
  <si>
    <t>Total debt</t>
  </si>
  <si>
    <t>INTANGIBLE ASSETS</t>
  </si>
  <si>
    <t>PPE</t>
  </si>
  <si>
    <t>Intangible Assets (EUR thousand)</t>
  </si>
  <si>
    <t>Weighted average number of common shares for diluted earnings per common share (thousand)</t>
  </si>
  <si>
    <t>Forecasted years</t>
  </si>
  <si>
    <t>Both</t>
  </si>
  <si>
    <t>Total additions</t>
  </si>
  <si>
    <t>Total D&amp;A</t>
  </si>
  <si>
    <t xml:space="preserve">Balance check </t>
  </si>
  <si>
    <t>Total Liabilities</t>
  </si>
  <si>
    <t>Cost of sales (cogs)</t>
  </si>
  <si>
    <t>Selling, general and administrative costs (sg&amp;a)</t>
  </si>
  <si>
    <t>Income Statement Assumptions</t>
  </si>
  <si>
    <t>Source/Rationale</t>
  </si>
  <si>
    <t>Revenue Growth</t>
  </si>
  <si>
    <t>Cost of sales in % of revenue</t>
  </si>
  <si>
    <t>SG&amp;A in % of revenue</t>
  </si>
  <si>
    <t>R&amp;D in % of revenue</t>
  </si>
  <si>
    <t>Other expenses, net in % of revenue</t>
  </si>
  <si>
    <t>Effective tax rate (income tax/profit before tax)</t>
  </si>
  <si>
    <t xml:space="preserve">Non-controlling interests % of net profit </t>
  </si>
  <si>
    <t>Working Capital:</t>
  </si>
  <si>
    <t>Property, Plant &amp; Equipment and Intangible Assets</t>
  </si>
  <si>
    <t xml:space="preserve">               Capital Expanditures (CapEx)</t>
  </si>
  <si>
    <t xml:space="preserve">               Depreciation &amp; Amortization</t>
  </si>
  <si>
    <t xml:space="preserve">               Repayments</t>
  </si>
  <si>
    <t xml:space="preserve">               New Borrowings</t>
  </si>
  <si>
    <t>Equity</t>
  </si>
  <si>
    <t xml:space="preserve">               Dividend payout ratio</t>
  </si>
  <si>
    <t xml:space="preserve">               Share buybacks</t>
  </si>
  <si>
    <t>Revenue</t>
  </si>
  <si>
    <t xml:space="preserve">Cost of sales </t>
  </si>
  <si>
    <t xml:space="preserve">               CapEx as a % of revenue</t>
  </si>
  <si>
    <t xml:space="preserve">               D&amp;A as a % of revenue</t>
  </si>
  <si>
    <t>Interest rate on debt</t>
  </si>
  <si>
    <t>Yield on cash and financing receivables</t>
  </si>
  <si>
    <t xml:space="preserve">               Share buybacks as a % of net profit</t>
  </si>
  <si>
    <t xml:space="preserve">               Net borrowing</t>
  </si>
  <si>
    <t xml:space="preserve">               Current portion of debt (due within 1 year)</t>
  </si>
  <si>
    <t>From debt tab</t>
  </si>
  <si>
    <t>Other liabilities as a % of revenue</t>
  </si>
  <si>
    <t>Other current assets as a % of revenue</t>
  </si>
  <si>
    <t>Starting after 2025, a target of 40% dividend payout ratio is set by the company</t>
  </si>
  <si>
    <t>Values are stable, forecasts will use the average of the historical data</t>
  </si>
  <si>
    <t>Interpretation: At the end of 2025, Ferrari holds about 118 days’ worth of production costs in inventory - Stable values, average for forecasted years</t>
  </si>
  <si>
    <t>Implied EBIT margin</t>
  </si>
  <si>
    <t xml:space="preserve">               Dividends paid / previous year's net profit (Lagged payout)</t>
  </si>
  <si>
    <t>2026: revised guidance of about €7.6bn (Q2 2026 results). 2030: target of about €9.0bn (Capital Markets Day, Oct 2025). 2027 to 2029: constant growth that reaches the target</t>
  </si>
  <si>
    <t>Held at 2025 level (48.3%). Falling trend but no company target. Resulting EBIT margin checked against guidance of at least 29.5% for 2026 and at least 30% for 2030.</t>
  </si>
  <si>
    <t>Cost of sales in % of revenue * revenue</t>
  </si>
  <si>
    <t>Held at 2025 level (9.0%). Rising trend. The 2026 outlook cites higher brand investments (2025 annual report p.122) but gives no figure.</t>
  </si>
  <si>
    <t>Held at 2025 level (12.9%). Falling trend, no company target. The outlook cites higher racing and digital expenses</t>
  </si>
  <si>
    <t>Values are volatile and small, forecasts will then use the average of the historical values</t>
  </si>
  <si>
    <t>23%: H1 2026 effective rate under the new Patent Box regime (Q2 2026 results). 2023 and 2024 were lowered by two overlapping regimes, so the average would understate</t>
  </si>
  <si>
    <t>Held at 2025 level (0.16%). Small and declining, immaterial to net profit</t>
  </si>
  <si>
    <t>Financial expenses ÷ previous year-end total debt - This and the next row will start at 2024 because no 2022 data - Held at 2025 level (6.39%). Applied to previous year-end debt to avoid a circular reference</t>
  </si>
  <si>
    <t>Financial income ÷ previous year-end (cash + receivables from financing activities) - Held at 2025 level (4.94%). Falling trend. Applied to previous year-end cash plus financing receivables</t>
  </si>
  <si>
    <t>Average of 2023 to 2025. Stable (about 116 to 119 days for inventories, and 16 to 19 days for receivables)</t>
  </si>
  <si>
    <t>Held at 2025 level (89 days). The fall from 113 to 104 to 89 is not extrapolated, and the company gives no information.</t>
  </si>
  <si>
    <t>Ferrari’s customer-financing book, so it is a simplification - Latest value will be held to avoid a jump in 2026</t>
  </si>
  <si>
    <t>9.35% of revenue. Guidance (EBITDA minus EBIT) implies about €0.71bn in 2026 and about €0.85bn in 2030, i.e. 9.3 to 9.4%. Simplified: real D&amp;A depends on the asset base</t>
  </si>
  <si>
    <t>About €3.5bn program to 2030 (Capital Markets Day). Spread evenly at €700m a year, as the company gives no annual split</t>
  </si>
  <si>
    <t>Held at 2025 level (19.5%). Mostly customer advances and deferred income (note 25), which grow with the business. An average would imply a decline in 2026</t>
  </si>
  <si>
    <t>For the forecasts, simply D%A%*revenue</t>
  </si>
  <si>
    <t>40% of previous year’s net profit. Company target is 40% of Adjusted Net Profit starting with the 2025 results; adjusted and reported 2025 profit are both about €1.6bn</t>
  </si>
  <si>
    <t>Extracted from IS | Values are rising - Held flat at 2025 amount because no company guidance</t>
  </si>
  <si>
    <t xml:space="preserve">               New borrowings as % of repayments</t>
  </si>
  <si>
    <t>Maturing debt refinanced, total debt held at 2025 level; net industrial debt close to zero (€32m at Dec 2025, Q2 2026 results</t>
  </si>
  <si>
    <t>Total CapEx from 2026 to 2030</t>
  </si>
  <si>
    <t>Company plan of about €4.7bn (Capital Markets Day), converted to cash capex at about 93% (2025 cash capex ÷ company capex) = about €4.4bn.</t>
  </si>
  <si>
    <t>2027 to 2030: 2025 ratio of repayments to opening debt (27.82%), applied to previous year-end debt</t>
  </si>
  <si>
    <t xml:space="preserve">2026: current portion of debt at end 2025 (€962m, debt note). </t>
  </si>
  <si>
    <t>4.4bn spread over the 5 forecasted years</t>
  </si>
  <si>
    <t xml:space="preserve">               Inventories (in 1000 Euros)</t>
  </si>
  <si>
    <t xml:space="preserve">               Trade receivables (in 1000 euros)</t>
  </si>
  <si>
    <t xml:space="preserve">               Trade Payables (in 1000 euros)</t>
  </si>
  <si>
    <t xml:space="preserve">               Trade (days worth)</t>
  </si>
  <si>
    <t xml:space="preserve">               Inventories (days worth)</t>
  </si>
  <si>
    <t xml:space="preserve">               Trade receivables (days worth)</t>
  </si>
  <si>
    <t>Receivables from financing activities (Ferrari-specific)  as % of revenue</t>
  </si>
  <si>
    <t xml:space="preserve">Financial income and expenses will be filled after balance sheet </t>
  </si>
  <si>
    <t>Intangibles' share of CapEx</t>
  </si>
  <si>
    <t>PPE's share of CapEx</t>
  </si>
  <si>
    <t>Intangibles' share of D&amp;A</t>
  </si>
  <si>
    <t>PPE's share of D&amp;A</t>
  </si>
  <si>
    <t>Forecasts will be held flat at the 2025 value</t>
  </si>
  <si>
    <t>About the Cash Flow Statement:</t>
  </si>
  <si>
    <t xml:space="preserve">Rows with only 0 in the forecasts have no drivers (basic simplification), they're small and unpredictible </t>
  </si>
  <si>
    <t>Apparently: Provision accruals, other non-cash items, asset sales, acquisitions and currency effects can’t be forecast from anything the company publishes. Currency effects in particular are noise that no analyst forecasts</t>
  </si>
  <si>
    <t xml:space="preserve">               Repayments as a % of opening debt</t>
  </si>
  <si>
    <t xml:space="preserve">                    Bonds share of repayments</t>
  </si>
  <si>
    <t xml:space="preserve">                    Securization shares of repayments</t>
  </si>
  <si>
    <t xml:space="preserve">                    Bank loans shares of repayments</t>
  </si>
  <si>
    <t xml:space="preserve">                    Other debt shares of repayments</t>
  </si>
  <si>
    <t xml:space="preserve">                    Lease liabilities share of repayments</t>
  </si>
  <si>
    <t>Balance Sheet Assumptions (and some cash flow info)</t>
  </si>
  <si>
    <t xml:space="preserve">                    Bonds share of borrowings</t>
  </si>
  <si>
    <t xml:space="preserve">                    Securization shares of borrowings</t>
  </si>
  <si>
    <t xml:space="preserve">                    Bank loans shares of borrowings</t>
  </si>
  <si>
    <t xml:space="preserve">                    Other debt shares of borrowings</t>
  </si>
  <si>
    <t>Items with blue background are used only for CF statement</t>
  </si>
  <si>
    <t>Pooled 2023 to 2025: each line’s total repayments ÷ total repayments over the three years. Debt flows are lumpy (e.g. in 2025 bonds were 48% of repayments), so one year is not representative. The split only affects how the cash flow statement is presented. The total comes from the repayment assumption above, so it does not change the balance sheet.</t>
  </si>
  <si>
    <t>Pooled 2023 to 2025: each line’s total proceeds ÷ total proceeds over the three years. Issuance varies a lot from year to year (e.g. no new bonds in 2025), so three years are pooled. Leases have no proceeds line, so they are not part of this split. The total comes from the new borrowings assumption above.</t>
  </si>
  <si>
    <t>All other items not present on this assumptions table will be held flat (except results from investements)</t>
  </si>
  <si>
    <t>Error correction: At first, there was a gap in the balance sheet. Turns out it came from the results from investments, which had nothing to connect it to the balance sheet</t>
  </si>
  <si>
    <t>The solution: Profit stays in the investment, meaning in the balance sheet, we add the results from investments to the row "Investments and other financial assets"</t>
  </si>
  <si>
    <t>Trend from buybacks, no company guidance</t>
  </si>
  <si>
    <t>Share-based compensation (thousand shares)</t>
  </si>
  <si>
    <t>Profit attributable to owners of the Company (thousand euros)</t>
  </si>
  <si>
    <t>Diluted earnings per common share (euros)</t>
  </si>
  <si>
    <t>Change in weighted average common shares (%)</t>
  </si>
  <si>
    <t>Held at 2025 level small (about 0.1% of shares) and immaterial to EPS</t>
  </si>
  <si>
    <t>EBIT</t>
  </si>
  <si>
    <t>Net profit (owners)</t>
  </si>
  <si>
    <t>Revenue growth %</t>
  </si>
  <si>
    <t>EBIT margin %</t>
  </si>
  <si>
    <t>Diluted EPS (€)</t>
  </si>
  <si>
    <t>Cash</t>
  </si>
  <si>
    <t>Net debt</t>
  </si>
  <si>
    <t>Free cash flow</t>
  </si>
  <si>
    <t>Actual</t>
  </si>
  <si>
    <t>Forecast</t>
  </si>
  <si>
    <t>Key figures</t>
  </si>
  <si>
    <t>Model integrity: Balance check:</t>
  </si>
  <si>
    <t>Key assumptions</t>
  </si>
  <si>
    <t>Cost of sales as % of revenue</t>
  </si>
  <si>
    <t>CapEx as % of revenue</t>
  </si>
  <si>
    <t>Inventory days</t>
  </si>
  <si>
    <t>Tax rate</t>
  </si>
  <si>
    <t>Dividend payout ratio</t>
  </si>
  <si>
    <t>Share buybacks</t>
  </si>
  <si>
    <t>cash completed after CF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</si>
</sst>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_);\(0\)"/>
    <numFmt numFmtId="165" formatCode="_(* #,##0_);_(* \(#,##0\);_(* &quot;-&quot;??_);_(@_)"/>
    <numFmt numFmtId="166" formatCode="_(* #,##0.000_);_(* \(#,##0.000\);_(* &quot;-&quot;??_);_(@_)"/>
    <numFmt numFmtId="167" formatCode="0.000%"/>
    <numFmt numFmtId="168" formatCode="0.000000000000000%"/>
  </numFmts>
  <fonts count="14" x14ac:knownFonts="1">
    <font>
      <sz val="10"/>
      <color rgb="FF000000"/>
      <name val="Times New Roman"/>
      <charset val="204"/>
    </font>
    <font>
      <b/>
      <sz val="9"/>
      <name val="Calibri"/>
      <family val="2"/>
      <scheme val="minor"/>
    </font>
    <font>
      <sz val="9"/>
      <color rgb="FF000000"/>
      <name val="Calibri"/>
      <family val="2"/>
      <scheme val="minor"/>
    </font>
    <font>
      <sz val="9"/>
      <name val="Calibri"/>
      <family val="2"/>
      <scheme val="minor"/>
    </font>
    <font>
      <i/>
      <sz val="9"/>
      <name val="Calibri"/>
      <family val="2"/>
      <scheme val="minor"/>
    </font>
    <font>
      <b/>
      <sz val="9"/>
      <color rgb="FF000000"/>
      <name val="Calibri"/>
      <family val="2"/>
      <scheme val="minor"/>
    </font>
    <font>
      <b/>
      <sz val="9"/>
      <color rgb="FFFFFFFF"/>
      <name val="Calibri"/>
      <family val="2"/>
      <scheme val="minor"/>
    </font>
    <font>
      <sz val="10"/>
      <color rgb="FF000000"/>
      <name val="Times New Roman"/>
      <family val="1"/>
    </font>
    <font>
      <sz val="9"/>
      <color rgb="FFFF0000"/>
      <name val="Calibri"/>
      <family val="2"/>
      <scheme val="minor"/>
    </font>
    <font>
      <sz val="10"/>
      <color rgb="FF000000"/>
      <name val="Times New Roman"/>
      <family val="1"/>
    </font>
    <font>
      <sz val="9"/>
      <color rgb="FF0070C0"/>
      <name val="Calibri"/>
      <family val="2"/>
      <scheme val="minor"/>
    </font>
    <font>
      <b/>
      <sz val="9"/>
      <color rgb="FF0070C0"/>
      <name val="Calibri"/>
      <family val="2"/>
      <scheme val="minor"/>
    </font>
    <font>
      <sz val="9"/>
      <color theme="1"/>
      <name val="Calibri"/>
      <family val="2"/>
      <scheme val="minor"/>
    </font>
    <font>
      <sz val="8.5"/>
      <color rgb="FF000000"/>
      <name val="Calibri"/>
      <family val="2"/>
      <scheme val="minor"/>
    </font>
  </fonts>
  <fills count="11">
    <fill>
      <patternFill patternType="none"/>
    </fill>
    <fill>
      <patternFill patternType="gray125"/>
    </fill>
    <fill>
      <patternFill patternType="solid">
        <fgColor rgb="FF000000"/>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8F5F8"/>
        <bgColor indexed="64"/>
      </patternFill>
    </fill>
    <fill>
      <patternFill patternType="solid">
        <fgColor rgb="FFECECEC"/>
        <bgColor indexed="64"/>
      </patternFill>
    </fill>
    <fill>
      <patternFill patternType="solid">
        <fgColor rgb="FFD6EDF2"/>
        <bgColor indexed="64"/>
      </patternFill>
    </fill>
    <fill>
      <patternFill patternType="solid">
        <fgColor theme="2"/>
        <bgColor indexed="64"/>
      </patternFill>
    </fill>
  </fills>
  <borders count="42">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FFFFF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s>
  <cellStyleXfs count="3">
    <xf numFmtId="0" fontId="0" fillId="0" borderId="0"/>
    <xf numFmtId="43" fontId="7" fillId="0" borderId="0" applyFont="0" applyFill="0" applyBorder="0" applyAlignment="0" applyProtection="0"/>
    <xf numFmtId="9" fontId="9" fillId="0" borderId="0" applyFont="0" applyFill="0" applyBorder="0" applyAlignment="0" applyProtection="0"/>
  </cellStyleXfs>
  <cellXfs count="588">
    <xf numFmtId="0" fontId="0" fillId="0" borderId="0" xfId="0" applyAlignment="1">
      <alignment horizontal="left" vertical="top"/>
    </xf>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vertical="top"/>
    </xf>
    <xf numFmtId="0" fontId="1" fillId="0" borderId="0" xfId="0" applyFont="1" applyAlignment="1">
      <alignment vertical="top"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3" fillId="0" borderId="0" xfId="0" applyFont="1" applyAlignment="1">
      <alignment horizontal="left" vertical="center" wrapText="1"/>
    </xf>
    <xf numFmtId="1" fontId="1" fillId="4" borderId="8" xfId="0" applyNumberFormat="1" applyFont="1" applyFill="1" applyBorder="1" applyAlignment="1">
      <alignment horizontal="center" vertical="center" shrinkToFit="1"/>
    </xf>
    <xf numFmtId="0" fontId="1" fillId="4" borderId="10" xfId="0" applyFont="1" applyFill="1" applyBorder="1" applyAlignment="1">
      <alignment horizontal="left" vertical="top" wrapText="1"/>
    </xf>
    <xf numFmtId="0" fontId="2" fillId="0" borderId="13" xfId="0" applyFont="1" applyBorder="1" applyAlignment="1">
      <alignment horizontal="left" vertical="top"/>
    </xf>
    <xf numFmtId="0" fontId="3" fillId="0" borderId="14" xfId="0" applyFont="1" applyBorder="1" applyAlignment="1">
      <alignment horizontal="center" vertical="center" wrapText="1"/>
    </xf>
    <xf numFmtId="0" fontId="3" fillId="4" borderId="11" xfId="0" applyFont="1" applyFill="1" applyBorder="1" applyAlignment="1">
      <alignment horizontal="left" vertical="top" wrapText="1"/>
    </xf>
    <xf numFmtId="1" fontId="3" fillId="0" borderId="16" xfId="0" applyNumberFormat="1" applyFont="1" applyBorder="1" applyAlignment="1">
      <alignment horizontal="center" vertical="center" shrinkToFit="1"/>
    </xf>
    <xf numFmtId="0" fontId="3" fillId="4" borderId="12" xfId="0" applyFont="1" applyFill="1" applyBorder="1" applyAlignment="1">
      <alignment horizontal="left" vertical="top" wrapText="1"/>
    </xf>
    <xf numFmtId="1" fontId="3" fillId="0" borderId="18" xfId="0" applyNumberFormat="1" applyFont="1" applyBorder="1" applyAlignment="1">
      <alignment horizontal="center" vertical="center" shrinkToFit="1"/>
    </xf>
    <xf numFmtId="0" fontId="1" fillId="3" borderId="6" xfId="0" applyFont="1" applyFill="1" applyBorder="1" applyAlignment="1">
      <alignment horizontal="left" vertical="top" wrapText="1"/>
    </xf>
    <xf numFmtId="0" fontId="3" fillId="3" borderId="7" xfId="0" applyFont="1" applyFill="1" applyBorder="1" applyAlignment="1">
      <alignment horizontal="center" vertical="center" wrapText="1"/>
    </xf>
    <xf numFmtId="3" fontId="1" fillId="3" borderId="8" xfId="0" applyNumberFormat="1" applyFont="1" applyFill="1" applyBorder="1" applyAlignment="1">
      <alignment horizontal="center" vertical="center" shrinkToFit="1"/>
    </xf>
    <xf numFmtId="0" fontId="3" fillId="4" borderId="10" xfId="0" applyFont="1" applyFill="1" applyBorder="1" applyAlignment="1">
      <alignment horizontal="left" vertical="top" wrapText="1"/>
    </xf>
    <xf numFmtId="1" fontId="3" fillId="0" borderId="13" xfId="0" applyNumberFormat="1" applyFont="1" applyBorder="1" applyAlignment="1">
      <alignment horizontal="center" vertical="center" shrinkToFit="1"/>
    </xf>
    <xf numFmtId="0" fontId="1" fillId="3" borderId="6" xfId="0" applyFont="1" applyFill="1" applyBorder="1" applyAlignment="1">
      <alignment vertical="top" wrapText="1"/>
    </xf>
    <xf numFmtId="0" fontId="1" fillId="3" borderId="7"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1" fontId="3" fillId="0" borderId="7" xfId="0" applyNumberFormat="1" applyFont="1" applyBorder="1" applyAlignment="1">
      <alignment horizontal="center" vertical="center" shrinkToFit="1"/>
    </xf>
    <xf numFmtId="0" fontId="3" fillId="0" borderId="18" xfId="0" applyFont="1" applyBorder="1" applyAlignment="1">
      <alignment horizontal="center" vertical="center" wrapText="1"/>
    </xf>
    <xf numFmtId="0" fontId="2" fillId="0" borderId="0" xfId="0" applyFont="1" applyAlignment="1">
      <alignment vertical="top"/>
    </xf>
    <xf numFmtId="0" fontId="4" fillId="4" borderId="10" xfId="0" applyFont="1" applyFill="1" applyBorder="1" applyAlignment="1">
      <alignment horizontal="left" vertical="top" wrapText="1" indent="2"/>
    </xf>
    <xf numFmtId="0" fontId="4" fillId="4" borderId="11" xfId="0" applyFont="1" applyFill="1" applyBorder="1" applyAlignment="1">
      <alignment horizontal="left" vertical="top" wrapText="1" indent="2"/>
    </xf>
    <xf numFmtId="0" fontId="3" fillId="4" borderId="6" xfId="0" applyFont="1" applyFill="1" applyBorder="1" applyAlignment="1">
      <alignment horizontal="left" vertical="top" wrapText="1"/>
    </xf>
    <xf numFmtId="0" fontId="4" fillId="4" borderId="10" xfId="0" applyFont="1" applyFill="1" applyBorder="1" applyAlignment="1">
      <alignment horizontal="left" vertical="top" wrapText="1"/>
    </xf>
    <xf numFmtId="0" fontId="3" fillId="0" borderId="16" xfId="0" applyFont="1" applyBorder="1" applyAlignment="1">
      <alignment horizontal="center" vertical="center" wrapText="1"/>
    </xf>
    <xf numFmtId="0" fontId="4" fillId="4" borderId="12" xfId="0" applyFont="1" applyFill="1" applyBorder="1" applyAlignment="1">
      <alignment horizontal="left" vertical="top" wrapText="1" indent="2"/>
    </xf>
    <xf numFmtId="1" fontId="3" fillId="3" borderId="7" xfId="0" applyNumberFormat="1" applyFont="1" applyFill="1" applyBorder="1" applyAlignment="1">
      <alignment horizontal="center" vertical="center" shrinkToFit="1"/>
    </xf>
    <xf numFmtId="0" fontId="3" fillId="0" borderId="0" xfId="0" applyFont="1" applyAlignment="1">
      <alignment vertical="top" wrapText="1"/>
    </xf>
    <xf numFmtId="0" fontId="1" fillId="0" borderId="0" xfId="0" applyFont="1" applyAlignment="1">
      <alignment horizontal="left" vertical="center" wrapText="1"/>
    </xf>
    <xf numFmtId="0" fontId="4" fillId="0" borderId="0" xfId="0" applyFont="1" applyAlignment="1">
      <alignment horizontal="right" vertical="center" wrapText="1"/>
    </xf>
    <xf numFmtId="0" fontId="3" fillId="4" borderId="9" xfId="0" applyFont="1" applyFill="1" applyBorder="1" applyAlignment="1">
      <alignment horizontal="center" vertical="center" wrapText="1"/>
    </xf>
    <xf numFmtId="0" fontId="4" fillId="0" borderId="0" xfId="0" applyFont="1" applyAlignment="1">
      <alignment vertical="top" wrapText="1"/>
    </xf>
    <xf numFmtId="3" fontId="3" fillId="0" borderId="14" xfId="0" applyNumberFormat="1" applyFont="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1" fontId="5" fillId="4" borderId="7" xfId="0" applyNumberFormat="1" applyFont="1" applyFill="1" applyBorder="1" applyAlignment="1">
      <alignment horizontal="center" vertical="center" shrinkToFit="1"/>
    </xf>
    <xf numFmtId="1" fontId="5" fillId="4" borderId="8" xfId="0" applyNumberFormat="1" applyFont="1" applyFill="1" applyBorder="1" applyAlignment="1">
      <alignment horizontal="center" vertical="center" shrinkToFit="1"/>
    </xf>
    <xf numFmtId="1" fontId="5" fillId="4" borderId="9" xfId="0" applyNumberFormat="1" applyFont="1" applyFill="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wrapText="1"/>
    </xf>
    <xf numFmtId="0" fontId="2" fillId="0" borderId="1" xfId="0" applyFont="1" applyBorder="1" applyAlignment="1">
      <alignment horizontal="right" vertical="top" wrapText="1"/>
    </xf>
    <xf numFmtId="0" fontId="2" fillId="0" borderId="1" xfId="0" applyFont="1" applyBorder="1" applyAlignment="1">
      <alignment horizontal="right" vertical="top" wrapText="1" indent="1"/>
    </xf>
    <xf numFmtId="0" fontId="1" fillId="0" borderId="1" xfId="0" applyFont="1" applyBorder="1" applyAlignment="1">
      <alignment horizontal="left" vertical="top" wrapText="1" indent="1"/>
    </xf>
    <xf numFmtId="0" fontId="2" fillId="0" borderId="1" xfId="0" applyFont="1" applyBorder="1" applyAlignment="1">
      <alignment horizontal="right" vertical="top" wrapText="1" indent="2"/>
    </xf>
    <xf numFmtId="0" fontId="1" fillId="0" borderId="1" xfId="0" applyFont="1" applyBorder="1" applyAlignment="1">
      <alignment horizontal="right" vertical="top" wrapText="1"/>
    </xf>
    <xf numFmtId="0" fontId="1" fillId="0" borderId="3" xfId="0" applyFont="1" applyBorder="1" applyAlignment="1">
      <alignment horizontal="left" vertical="top" wrapText="1"/>
    </xf>
    <xf numFmtId="3" fontId="5" fillId="0" borderId="3" xfId="0" applyNumberFormat="1" applyFont="1" applyBorder="1" applyAlignment="1">
      <alignment horizontal="right" vertical="top" shrinkToFit="1"/>
    </xf>
    <xf numFmtId="3" fontId="5" fillId="0" borderId="3" xfId="0" applyNumberFormat="1" applyFont="1" applyBorder="1" applyAlignment="1">
      <alignment horizontal="right" vertical="top" indent="1" shrinkToFit="1"/>
    </xf>
    <xf numFmtId="3" fontId="5" fillId="0" borderId="3" xfId="0" applyNumberFormat="1" applyFont="1" applyBorder="1" applyAlignment="1">
      <alignment horizontal="right" vertical="top" indent="2" shrinkToFit="1"/>
    </xf>
    <xf numFmtId="0" fontId="3" fillId="0" borderId="0" xfId="0" applyFont="1" applyAlignment="1">
      <alignment horizontal="left" vertical="top" wrapText="1"/>
    </xf>
    <xf numFmtId="3" fontId="2" fillId="0" borderId="0" xfId="0" applyNumberFormat="1" applyFont="1" applyAlignment="1">
      <alignment horizontal="right" vertical="top" shrinkToFit="1"/>
    </xf>
    <xf numFmtId="3" fontId="2" fillId="0" borderId="0" xfId="0" applyNumberFormat="1" applyFont="1" applyAlignment="1">
      <alignment horizontal="right" vertical="top" indent="1" shrinkToFit="1"/>
    </xf>
    <xf numFmtId="3" fontId="2" fillId="0" borderId="0" xfId="0" applyNumberFormat="1" applyFont="1" applyAlignment="1">
      <alignment horizontal="right" vertical="top" indent="2" shrinkToFit="1"/>
    </xf>
    <xf numFmtId="37" fontId="2" fillId="0" borderId="0" xfId="0" applyNumberFormat="1" applyFont="1" applyAlignment="1">
      <alignment horizontal="right" vertical="top" shrinkToFit="1"/>
    </xf>
    <xf numFmtId="164" fontId="2" fillId="0" borderId="0" xfId="0" applyNumberFormat="1" applyFont="1" applyAlignment="1">
      <alignment horizontal="right" vertical="top" indent="1" shrinkToFit="1"/>
    </xf>
    <xf numFmtId="37" fontId="2" fillId="0" borderId="0" xfId="0" applyNumberFormat="1" applyFont="1" applyAlignment="1">
      <alignment horizontal="right" vertical="top" indent="1" shrinkToFit="1"/>
    </xf>
    <xf numFmtId="164" fontId="2" fillId="0" borderId="0" xfId="0" applyNumberFormat="1" applyFont="1" applyAlignment="1">
      <alignment horizontal="right" vertical="top" indent="2" shrinkToFit="1"/>
    </xf>
    <xf numFmtId="0" fontId="3" fillId="0" borderId="0" xfId="0" applyFont="1" applyAlignment="1">
      <alignment horizontal="right" vertical="top" wrapText="1"/>
    </xf>
    <xf numFmtId="0" fontId="3" fillId="0" borderId="0" xfId="0" applyFont="1" applyAlignment="1">
      <alignment horizontal="right" vertical="top" wrapText="1" indent="1"/>
    </xf>
    <xf numFmtId="37" fontId="2" fillId="0" borderId="0" xfId="0" applyNumberFormat="1" applyFont="1" applyAlignment="1">
      <alignment horizontal="right" vertical="top" indent="2" shrinkToFit="1"/>
    </xf>
    <xf numFmtId="1" fontId="2" fillId="0" borderId="0" xfId="0" applyNumberFormat="1" applyFont="1" applyAlignment="1">
      <alignment horizontal="right" vertical="top" shrinkToFit="1"/>
    </xf>
    <xf numFmtId="0" fontId="3" fillId="0" borderId="1" xfId="0" applyFont="1" applyBorder="1" applyAlignment="1">
      <alignment horizontal="left" vertical="top" wrapText="1"/>
    </xf>
    <xf numFmtId="3" fontId="2" fillId="0" borderId="1" xfId="0" applyNumberFormat="1" applyFont="1" applyBorder="1" applyAlignment="1">
      <alignment horizontal="right" vertical="top" shrinkToFit="1"/>
    </xf>
    <xf numFmtId="37" fontId="2" fillId="0" borderId="1" xfId="0" applyNumberFormat="1" applyFont="1" applyBorder="1" applyAlignment="1">
      <alignment horizontal="right" vertical="top" indent="1" shrinkToFit="1"/>
    </xf>
    <xf numFmtId="0" fontId="3" fillId="0" borderId="1" xfId="0" applyFont="1" applyBorder="1" applyAlignment="1">
      <alignment horizontal="right" vertical="top" wrapText="1" indent="1"/>
    </xf>
    <xf numFmtId="37" fontId="2" fillId="0" borderId="1" xfId="0" applyNumberFormat="1" applyFont="1" applyBorder="1" applyAlignment="1">
      <alignment horizontal="right" vertical="top" indent="2" shrinkToFit="1"/>
    </xf>
    <xf numFmtId="37" fontId="2" fillId="0" borderId="1" xfId="0" applyNumberFormat="1" applyFont="1" applyBorder="1" applyAlignment="1">
      <alignment horizontal="right" vertical="top" shrinkToFit="1"/>
    </xf>
    <xf numFmtId="0" fontId="3" fillId="0" borderId="1" xfId="0" applyFont="1" applyBorder="1" applyAlignment="1">
      <alignment horizontal="right" vertical="top" wrapText="1"/>
    </xf>
    <xf numFmtId="164" fontId="2" fillId="0" borderId="1" xfId="0" applyNumberFormat="1" applyFont="1" applyBorder="1" applyAlignment="1">
      <alignment horizontal="right" vertical="top" indent="1" shrinkToFit="1"/>
    </xf>
    <xf numFmtId="164" fontId="2" fillId="0" borderId="1" xfId="0" applyNumberFormat="1" applyFont="1" applyBorder="1" applyAlignment="1">
      <alignment horizontal="right" vertical="top" indent="2" shrinkToFit="1"/>
    </xf>
    <xf numFmtId="164" fontId="2" fillId="0" borderId="1" xfId="0" applyNumberFormat="1" applyFont="1" applyBorder="1" applyAlignment="1">
      <alignment horizontal="right" vertical="top" shrinkToFit="1"/>
    </xf>
    <xf numFmtId="0" fontId="1" fillId="0" borderId="2" xfId="0" applyFont="1" applyBorder="1" applyAlignment="1">
      <alignment horizontal="left" vertical="top" wrapText="1"/>
    </xf>
    <xf numFmtId="3" fontId="6" fillId="2" borderId="3" xfId="0" applyNumberFormat="1" applyFont="1" applyFill="1" applyBorder="1" applyAlignment="1">
      <alignment horizontal="right" vertical="top" shrinkToFit="1"/>
    </xf>
    <xf numFmtId="3" fontId="6" fillId="2" borderId="3" xfId="0" applyNumberFormat="1" applyFont="1" applyFill="1" applyBorder="1" applyAlignment="1">
      <alignment horizontal="right" vertical="top" indent="1" shrinkToFit="1"/>
    </xf>
    <xf numFmtId="3" fontId="6" fillId="2" borderId="3" xfId="0" applyNumberFormat="1" applyFont="1" applyFill="1" applyBorder="1" applyAlignment="1">
      <alignment horizontal="right" vertical="top" indent="2" shrinkToFi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right" vertical="top" wrapText="1" indent="1"/>
    </xf>
    <xf numFmtId="0" fontId="1" fillId="0" borderId="0" xfId="0" applyFont="1" applyAlignment="1">
      <alignment horizontal="right" vertical="top" wrapText="1" indent="2"/>
    </xf>
    <xf numFmtId="0" fontId="1" fillId="0" borderId="0" xfId="0" applyFont="1" applyAlignment="1">
      <alignment horizontal="right" vertical="top" wrapText="1"/>
    </xf>
    <xf numFmtId="1" fontId="2" fillId="0" borderId="0" xfId="0" applyNumberFormat="1" applyFont="1" applyAlignment="1">
      <alignment horizontal="right" vertical="top" indent="1" shrinkToFit="1"/>
    </xf>
    <xf numFmtId="0" fontId="3" fillId="0" borderId="0" xfId="0" applyFont="1" applyAlignment="1">
      <alignment horizontal="right" vertical="top" wrapText="1" indent="2"/>
    </xf>
    <xf numFmtId="164" fontId="2" fillId="0" borderId="0" xfId="0" applyNumberFormat="1" applyFont="1" applyAlignment="1">
      <alignment horizontal="right" vertical="top" shrinkToFit="1"/>
    </xf>
    <xf numFmtId="1" fontId="2" fillId="0" borderId="1" xfId="0" applyNumberFormat="1" applyFont="1" applyBorder="1" applyAlignment="1">
      <alignment horizontal="right" vertical="top" indent="1" shrinkToFit="1"/>
    </xf>
    <xf numFmtId="0" fontId="3" fillId="0" borderId="1" xfId="0" applyFont="1" applyBorder="1" applyAlignment="1">
      <alignment horizontal="right" vertical="top" wrapText="1" indent="2"/>
    </xf>
    <xf numFmtId="1" fontId="2" fillId="0" borderId="1" xfId="0" applyNumberFormat="1" applyFont="1" applyBorder="1" applyAlignment="1">
      <alignment horizontal="right" vertical="top" shrinkToFit="1"/>
    </xf>
    <xf numFmtId="0" fontId="2" fillId="0" borderId="3" xfId="0" applyFont="1" applyBorder="1" applyAlignment="1">
      <alignment horizontal="left" vertical="center" wrapText="1"/>
    </xf>
    <xf numFmtId="0" fontId="1" fillId="0" borderId="0" xfId="0" applyFont="1" applyAlignment="1">
      <alignment horizontal="left" vertical="top" wrapText="1"/>
    </xf>
    <xf numFmtId="3" fontId="5" fillId="0" borderId="0" xfId="0" applyNumberFormat="1" applyFont="1" applyAlignment="1">
      <alignment horizontal="right" vertical="top" shrinkToFit="1"/>
    </xf>
    <xf numFmtId="3" fontId="5" fillId="0" borderId="0" xfId="0" applyNumberFormat="1" applyFont="1" applyAlignment="1">
      <alignment horizontal="right" vertical="top" indent="1" shrinkToFit="1"/>
    </xf>
    <xf numFmtId="3" fontId="5" fillId="0" borderId="0" xfId="0" applyNumberFormat="1" applyFont="1" applyAlignment="1">
      <alignment horizontal="right" vertical="top" indent="2" shrinkToFit="1"/>
    </xf>
    <xf numFmtId="0" fontId="1" fillId="0" borderId="1" xfId="0" applyFont="1" applyBorder="1" applyAlignment="1">
      <alignment horizontal="left" vertical="top" wrapText="1"/>
    </xf>
    <xf numFmtId="3" fontId="6" fillId="2" borderId="0" xfId="0" applyNumberFormat="1" applyFont="1" applyFill="1" applyAlignment="1">
      <alignment horizontal="right" vertical="top" shrinkToFit="1"/>
    </xf>
    <xf numFmtId="3" fontId="6" fillId="2" borderId="0" xfId="0" applyNumberFormat="1" applyFont="1" applyFill="1" applyAlignment="1">
      <alignment horizontal="right" vertical="top" indent="1" shrinkToFit="1"/>
    </xf>
    <xf numFmtId="3" fontId="6" fillId="2" borderId="0" xfId="0" applyNumberFormat="1" applyFont="1" applyFill="1" applyAlignment="1">
      <alignment horizontal="right" vertical="top" indent="2" shrinkToFit="1"/>
    </xf>
    <xf numFmtId="0" fontId="2" fillId="0" borderId="0" xfId="0" applyFont="1" applyAlignment="1">
      <alignment horizontal="center" vertical="top" wrapText="1"/>
    </xf>
    <xf numFmtId="0" fontId="4" fillId="0" borderId="0" xfId="0" applyFont="1" applyAlignment="1">
      <alignment horizontal="right" vertical="top" wrapText="1" indent="2"/>
    </xf>
    <xf numFmtId="0" fontId="4" fillId="0" borderId="1" xfId="0" applyFont="1" applyBorder="1" applyAlignment="1">
      <alignment horizontal="right" vertical="top" wrapText="1" indent="2"/>
    </xf>
    <xf numFmtId="0" fontId="3" fillId="4" borderId="10" xfId="0" applyFont="1" applyFill="1" applyBorder="1" applyAlignment="1">
      <alignment vertical="top" wrapText="1"/>
    </xf>
    <xf numFmtId="0" fontId="3" fillId="4" borderId="11" xfId="0" applyFont="1" applyFill="1" applyBorder="1" applyAlignment="1">
      <alignment vertical="top" wrapText="1"/>
    </xf>
    <xf numFmtId="0" fontId="3" fillId="4" borderId="12" xfId="0" applyFont="1" applyFill="1" applyBorder="1" applyAlignment="1">
      <alignment vertical="top" wrapText="1"/>
    </xf>
    <xf numFmtId="3" fontId="5" fillId="3" borderId="7" xfId="0" applyNumberFormat="1" applyFont="1" applyFill="1" applyBorder="1" applyAlignment="1">
      <alignment horizontal="center" vertical="center" shrinkToFit="1"/>
    </xf>
    <xf numFmtId="0" fontId="2" fillId="0" borderId="0" xfId="0" applyFont="1" applyAlignment="1">
      <alignment wrapText="1"/>
    </xf>
    <xf numFmtId="0" fontId="3" fillId="0" borderId="0" xfId="0" applyFont="1" applyAlignment="1">
      <alignment horizontal="left" vertical="top"/>
    </xf>
    <xf numFmtId="3" fontId="3" fillId="0" borderId="0" xfId="0" applyNumberFormat="1" applyFont="1" applyAlignment="1">
      <alignment vertical="top" shrinkToFit="1"/>
    </xf>
    <xf numFmtId="37" fontId="3" fillId="0" borderId="0" xfId="0" applyNumberFormat="1" applyFont="1" applyAlignment="1">
      <alignment vertical="top" shrinkToFit="1"/>
    </xf>
    <xf numFmtId="37" fontId="3" fillId="0" borderId="0" xfId="0" applyNumberFormat="1" applyFont="1" applyAlignment="1">
      <alignment horizontal="right" vertical="top" shrinkToFit="1"/>
    </xf>
    <xf numFmtId="3" fontId="1" fillId="0" borderId="0" xfId="0" applyNumberFormat="1" applyFont="1" applyAlignment="1">
      <alignment vertical="top" shrinkToFit="1"/>
    </xf>
    <xf numFmtId="37" fontId="1" fillId="0" borderId="0" xfId="0" applyNumberFormat="1" applyFont="1" applyAlignment="1">
      <alignment vertical="top" shrinkToFit="1"/>
    </xf>
    <xf numFmtId="37" fontId="1" fillId="0" borderId="0" xfId="0" applyNumberFormat="1" applyFont="1" applyAlignment="1">
      <alignment horizontal="right" vertical="top" shrinkToFit="1"/>
    </xf>
    <xf numFmtId="0" fontId="3" fillId="0" borderId="0" xfId="0" applyFont="1" applyAlignment="1">
      <alignment wrapText="1"/>
    </xf>
    <xf numFmtId="0" fontId="3" fillId="0" borderId="0" xfId="0" applyFont="1" applyAlignment="1">
      <alignment horizontal="left" wrapText="1"/>
    </xf>
    <xf numFmtId="1" fontId="3" fillId="0" borderId="0" xfId="0" applyNumberFormat="1" applyFont="1" applyAlignment="1">
      <alignment vertical="top" shrinkToFit="1"/>
    </xf>
    <xf numFmtId="3" fontId="3" fillId="0" borderId="0" xfId="0" applyNumberFormat="1" applyFont="1" applyAlignment="1">
      <alignment horizontal="right" vertical="top" shrinkToFit="1"/>
    </xf>
    <xf numFmtId="164" fontId="3" fillId="0" borderId="0" xfId="0" applyNumberFormat="1" applyFont="1" applyAlignment="1">
      <alignment vertical="top" shrinkToFit="1"/>
    </xf>
    <xf numFmtId="3" fontId="1" fillId="0" borderId="0" xfId="0" applyNumberFormat="1" applyFont="1" applyAlignment="1">
      <alignment horizontal="right" vertical="top" shrinkToFit="1"/>
    </xf>
    <xf numFmtId="0" fontId="4" fillId="0" borderId="1" xfId="0" applyFont="1" applyBorder="1" applyAlignment="1">
      <alignment vertical="top" wrapText="1"/>
    </xf>
    <xf numFmtId="0" fontId="3" fillId="0" borderId="0" xfId="0" applyFont="1" applyAlignment="1">
      <alignment vertical="top"/>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3" fontId="1" fillId="0" borderId="3" xfId="0" applyNumberFormat="1" applyFont="1" applyBorder="1" applyAlignment="1">
      <alignment horizontal="center" vertical="center" shrinkToFit="1"/>
    </xf>
    <xf numFmtId="3" fontId="3" fillId="0" borderId="0" xfId="0" applyNumberFormat="1" applyFont="1" applyAlignment="1">
      <alignment horizontal="center" vertical="center" shrinkToFit="1"/>
    </xf>
    <xf numFmtId="37" fontId="3" fillId="0" borderId="0" xfId="0" applyNumberFormat="1" applyFont="1" applyAlignment="1">
      <alignment horizontal="center" vertical="center" shrinkToFit="1"/>
    </xf>
    <xf numFmtId="164" fontId="3" fillId="0" borderId="0" xfId="0" applyNumberFormat="1" applyFont="1" applyAlignment="1">
      <alignment horizontal="center" vertical="center" shrinkToFit="1"/>
    </xf>
    <xf numFmtId="1" fontId="3" fillId="0" borderId="0" xfId="0" applyNumberFormat="1" applyFont="1" applyAlignment="1">
      <alignment horizontal="center" vertical="center" shrinkToFit="1"/>
    </xf>
    <xf numFmtId="1" fontId="3" fillId="0" borderId="1" xfId="0" applyNumberFormat="1" applyFont="1" applyBorder="1" applyAlignment="1">
      <alignment horizontal="center" vertical="center" shrinkToFit="1"/>
    </xf>
    <xf numFmtId="37" fontId="3" fillId="0" borderId="1" xfId="0" applyNumberFormat="1" applyFont="1" applyBorder="1" applyAlignment="1">
      <alignment horizontal="center" vertical="center" shrinkToFit="1"/>
    </xf>
    <xf numFmtId="3" fontId="3" fillId="0" borderId="1" xfId="0" applyNumberFormat="1" applyFont="1" applyBorder="1" applyAlignment="1">
      <alignment horizontal="center" vertical="center" shrinkToFit="1"/>
    </xf>
    <xf numFmtId="164" fontId="3" fillId="0" borderId="1" xfId="0" applyNumberFormat="1" applyFont="1" applyBorder="1" applyAlignment="1">
      <alignment horizontal="center" vertical="center" shrinkToFit="1"/>
    </xf>
    <xf numFmtId="0" fontId="3" fillId="0" borderId="1" xfId="0" applyFont="1" applyBorder="1" applyAlignment="1">
      <alignment horizontal="center" vertical="center" wrapText="1"/>
    </xf>
    <xf numFmtId="0" fontId="1" fillId="0" borderId="3" xfId="0" applyFont="1" applyBorder="1" applyAlignment="1">
      <alignment horizontal="center" vertical="center" wrapText="1"/>
    </xf>
    <xf numFmtId="0" fontId="3" fillId="0" borderId="3" xfId="0" applyFont="1" applyBorder="1" applyAlignment="1">
      <alignment horizontal="center" vertical="center" wrapText="1"/>
    </xf>
    <xf numFmtId="3" fontId="1" fillId="0" borderId="0" xfId="0" applyNumberFormat="1" applyFont="1" applyAlignment="1">
      <alignment horizontal="center" vertical="center" shrinkToFit="1"/>
    </xf>
    <xf numFmtId="0" fontId="4" fillId="0" borderId="0" xfId="0" applyFont="1" applyAlignment="1">
      <alignment horizontal="center" vertical="center" wrapText="1"/>
    </xf>
    <xf numFmtId="3" fontId="4" fillId="0" borderId="0" xfId="0" applyNumberFormat="1" applyFont="1" applyAlignment="1">
      <alignment horizontal="center" vertical="center" shrinkToFit="1"/>
    </xf>
    <xf numFmtId="0" fontId="4" fillId="0" borderId="4" xfId="0" applyFont="1" applyBorder="1" applyAlignment="1">
      <alignment horizontal="center" vertical="center" wrapText="1"/>
    </xf>
    <xf numFmtId="3" fontId="4" fillId="0" borderId="4" xfId="0" applyNumberFormat="1" applyFont="1" applyBorder="1" applyAlignment="1">
      <alignment horizontal="center" vertical="center" shrinkToFit="1"/>
    </xf>
    <xf numFmtId="3" fontId="2" fillId="0" borderId="0" xfId="0" applyNumberFormat="1" applyFont="1" applyAlignment="1">
      <alignment horizontal="left" vertical="top"/>
    </xf>
    <xf numFmtId="0" fontId="3" fillId="4" borderId="24" xfId="0" applyFont="1" applyFill="1" applyBorder="1" applyAlignment="1">
      <alignment vertical="top" wrapText="1"/>
    </xf>
    <xf numFmtId="0" fontId="3" fillId="4" borderId="26" xfId="0" applyFont="1" applyFill="1" applyBorder="1" applyAlignment="1">
      <alignment vertical="top" wrapText="1"/>
    </xf>
    <xf numFmtId="0" fontId="3" fillId="4" borderId="27" xfId="0" applyFont="1" applyFill="1" applyBorder="1" applyAlignment="1">
      <alignment vertical="top" wrapText="1"/>
    </xf>
    <xf numFmtId="0" fontId="1" fillId="3" borderId="21" xfId="0" applyFont="1" applyFill="1" applyBorder="1" applyAlignment="1">
      <alignment vertical="top" wrapText="1"/>
    </xf>
    <xf numFmtId="3" fontId="5" fillId="3" borderId="6" xfId="0" applyNumberFormat="1" applyFont="1" applyFill="1" applyBorder="1" applyAlignment="1">
      <alignment horizontal="center" vertical="center" shrinkToFit="1"/>
    </xf>
    <xf numFmtId="0" fontId="4" fillId="4" borderId="7" xfId="0" applyFont="1" applyFill="1" applyBorder="1" applyAlignment="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shrinkToFit="1"/>
    </xf>
    <xf numFmtId="0" fontId="2" fillId="4" borderId="10" xfId="0" applyFont="1" applyFill="1" applyBorder="1" applyAlignment="1">
      <alignment horizontal="left" vertical="top"/>
    </xf>
    <xf numFmtId="0" fontId="2" fillId="4" borderId="12" xfId="0" applyFont="1" applyFill="1" applyBorder="1" applyAlignment="1">
      <alignment horizontal="left" vertical="top"/>
    </xf>
    <xf numFmtId="0" fontId="2" fillId="4" borderId="9" xfId="0" applyFont="1" applyFill="1" applyBorder="1" applyAlignment="1">
      <alignment horizontal="center" vertical="center"/>
    </xf>
    <xf numFmtId="3" fontId="2" fillId="0" borderId="13" xfId="0" applyNumberFormat="1" applyFont="1" applyBorder="1" applyAlignment="1">
      <alignment horizontal="left" vertical="top"/>
    </xf>
    <xf numFmtId="3" fontId="2" fillId="0" borderId="18" xfId="0" applyNumberFormat="1" applyFont="1" applyBorder="1" applyAlignment="1">
      <alignment horizontal="left" vertical="top"/>
    </xf>
    <xf numFmtId="3" fontId="3" fillId="0" borderId="0" xfId="0" applyNumberFormat="1" applyFont="1" applyAlignment="1">
      <alignment horizontal="center" vertical="center" wrapText="1"/>
    </xf>
    <xf numFmtId="37" fontId="2" fillId="0" borderId="0" xfId="0" applyNumberFormat="1" applyFont="1" applyAlignment="1">
      <alignment horizontal="left" vertical="top"/>
    </xf>
    <xf numFmtId="0" fontId="3" fillId="4" borderId="8"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3" xfId="0" applyFont="1" applyBorder="1" applyAlignment="1">
      <alignment horizontal="center" vertical="center" wrapText="1"/>
    </xf>
    <xf numFmtId="1" fontId="2" fillId="0" borderId="16" xfId="0" applyNumberFormat="1" applyFont="1" applyBorder="1" applyAlignment="1">
      <alignment horizontal="center" vertical="center" shrinkToFit="1"/>
    </xf>
    <xf numFmtId="0" fontId="2" fillId="0" borderId="16" xfId="0" applyFont="1" applyBorder="1" applyAlignment="1">
      <alignment horizontal="center" vertical="center" wrapText="1"/>
    </xf>
    <xf numFmtId="1" fontId="2" fillId="0" borderId="18" xfId="0" applyNumberFormat="1" applyFont="1" applyBorder="1" applyAlignment="1">
      <alignment horizontal="center" vertical="center" shrinkToFit="1"/>
    </xf>
    <xf numFmtId="0" fontId="3" fillId="0" borderId="7" xfId="0" applyFont="1" applyBorder="1" applyAlignment="1">
      <alignment horizontal="center" vertical="center" wrapText="1"/>
    </xf>
    <xf numFmtId="1" fontId="2" fillId="3" borderId="7" xfId="0" applyNumberFormat="1" applyFont="1" applyFill="1" applyBorder="1" applyAlignment="1">
      <alignment horizontal="center" vertical="center" shrinkToFit="1"/>
    </xf>
    <xf numFmtId="3" fontId="2" fillId="0" borderId="0" xfId="0" applyNumberFormat="1" applyFont="1" applyAlignment="1">
      <alignment vertical="top" wrapText="1"/>
    </xf>
    <xf numFmtId="3" fontId="10" fillId="0" borderId="5" xfId="0" applyNumberFormat="1" applyFont="1" applyBorder="1" applyAlignment="1">
      <alignment horizontal="center" vertical="center" shrinkToFit="1"/>
    </xf>
    <xf numFmtId="3" fontId="10" fillId="0" borderId="19" xfId="0" applyNumberFormat="1" applyFont="1" applyBorder="1" applyAlignment="1">
      <alignment horizontal="center" vertical="center" shrinkToFit="1"/>
    </xf>
    <xf numFmtId="3" fontId="10" fillId="0" borderId="14" xfId="0" applyNumberFormat="1" applyFont="1" applyBorder="1" applyAlignment="1">
      <alignment horizontal="center" vertical="center" shrinkToFit="1"/>
    </xf>
    <xf numFmtId="3" fontId="10" fillId="0" borderId="13" xfId="0" applyNumberFormat="1" applyFont="1" applyBorder="1" applyAlignment="1">
      <alignment horizontal="center" vertical="center" shrinkToFit="1"/>
    </xf>
    <xf numFmtId="1" fontId="10" fillId="0" borderId="14" xfId="1" applyNumberFormat="1" applyFont="1" applyBorder="1" applyAlignment="1">
      <alignment horizontal="center" vertical="center"/>
    </xf>
    <xf numFmtId="1" fontId="10" fillId="0" borderId="15" xfId="1" applyNumberFormat="1" applyFont="1" applyBorder="1" applyAlignment="1">
      <alignment horizontal="center" vertical="center"/>
    </xf>
    <xf numFmtId="0" fontId="10" fillId="0" borderId="18" xfId="0" applyFont="1" applyBorder="1" applyAlignment="1">
      <alignment horizontal="center" vertical="center"/>
    </xf>
    <xf numFmtId="1" fontId="10" fillId="0" borderId="19" xfId="0" applyNumberFormat="1" applyFont="1" applyBorder="1" applyAlignment="1">
      <alignment horizontal="center" vertical="center"/>
    </xf>
    <xf numFmtId="1" fontId="10" fillId="0" borderId="20" xfId="1" applyNumberFormat="1" applyFont="1" applyBorder="1" applyAlignment="1">
      <alignment horizontal="center" vertical="center"/>
    </xf>
    <xf numFmtId="0" fontId="10" fillId="0" borderId="13" xfId="0" applyFont="1" applyBorder="1" applyAlignment="1">
      <alignment horizontal="center" vertical="center"/>
    </xf>
    <xf numFmtId="3" fontId="10" fillId="0" borderId="15" xfId="0" applyNumberFormat="1" applyFont="1" applyBorder="1" applyAlignment="1">
      <alignment horizontal="center" vertical="center" shrinkToFit="1"/>
    </xf>
    <xf numFmtId="3" fontId="10" fillId="0" borderId="18" xfId="0" applyNumberFormat="1" applyFont="1" applyBorder="1" applyAlignment="1">
      <alignment horizontal="center" vertical="center"/>
    </xf>
    <xf numFmtId="1" fontId="10" fillId="0" borderId="19" xfId="1" applyNumberFormat="1" applyFont="1" applyBorder="1" applyAlignment="1">
      <alignment horizontal="center" vertical="center"/>
    </xf>
    <xf numFmtId="3" fontId="10" fillId="0" borderId="10" xfId="0" applyNumberFormat="1" applyFont="1" applyBorder="1" applyAlignment="1">
      <alignment horizontal="center" vertical="center" shrinkToFit="1"/>
    </xf>
    <xf numFmtId="3" fontId="10" fillId="0" borderId="16" xfId="0" applyNumberFormat="1" applyFont="1" applyBorder="1" applyAlignment="1">
      <alignment horizontal="center" vertical="center" shrinkToFit="1"/>
    </xf>
    <xf numFmtId="3" fontId="10" fillId="0" borderId="17" xfId="0" applyNumberFormat="1" applyFont="1" applyBorder="1" applyAlignment="1">
      <alignment horizontal="center" vertical="center" shrinkToFit="1"/>
    </xf>
    <xf numFmtId="3" fontId="10" fillId="0" borderId="18" xfId="0" applyNumberFormat="1" applyFont="1" applyBorder="1" applyAlignment="1">
      <alignment horizontal="center" vertical="center" shrinkToFit="1"/>
    </xf>
    <xf numFmtId="0" fontId="10" fillId="0" borderId="19" xfId="0" applyFont="1" applyBorder="1" applyAlignment="1">
      <alignment horizontal="center" vertical="center" wrapText="1"/>
    </xf>
    <xf numFmtId="3" fontId="10" fillId="0" borderId="20" xfId="0" applyNumberFormat="1" applyFont="1" applyBorder="1" applyAlignment="1">
      <alignment horizontal="center" vertical="center" shrinkToFit="1"/>
    </xf>
    <xf numFmtId="37" fontId="10" fillId="0" borderId="11" xfId="0" applyNumberFormat="1" applyFont="1" applyBorder="1" applyAlignment="1">
      <alignment horizontal="center" vertical="center" shrinkToFit="1"/>
    </xf>
    <xf numFmtId="37" fontId="10" fillId="0" borderId="5" xfId="0" applyNumberFormat="1" applyFont="1" applyBorder="1" applyAlignment="1">
      <alignment horizontal="center" vertical="center" shrinkToFit="1"/>
    </xf>
    <xf numFmtId="3" fontId="10" fillId="0" borderId="11" xfId="0" applyNumberFormat="1" applyFont="1" applyBorder="1" applyAlignment="1">
      <alignment horizontal="center" vertical="center" shrinkToFit="1"/>
    </xf>
    <xf numFmtId="3" fontId="10" fillId="0" borderId="12" xfId="0" applyNumberFormat="1" applyFont="1" applyBorder="1" applyAlignment="1">
      <alignment horizontal="center" vertical="center" shrinkToFit="1"/>
    </xf>
    <xf numFmtId="37" fontId="10" fillId="0" borderId="19" xfId="0" applyNumberFormat="1" applyFont="1" applyBorder="1" applyAlignment="1">
      <alignment horizontal="center" vertical="center" shrinkToFit="1"/>
    </xf>
    <xf numFmtId="37" fontId="10" fillId="0" borderId="12" xfId="0" applyNumberFormat="1" applyFont="1" applyBorder="1" applyAlignment="1">
      <alignment horizontal="center" vertical="center" shrinkToFit="1"/>
    </xf>
    <xf numFmtId="3" fontId="10" fillId="0" borderId="8" xfId="0" applyNumberFormat="1" applyFont="1" applyBorder="1" applyAlignment="1">
      <alignment horizontal="center" vertical="center" shrinkToFit="1"/>
    </xf>
    <xf numFmtId="0" fontId="2" fillId="4" borderId="6" xfId="0" applyFont="1" applyFill="1" applyBorder="1" applyAlignment="1">
      <alignment horizontal="left" vertical="center"/>
    </xf>
    <xf numFmtId="0" fontId="2" fillId="0" borderId="11" xfId="0" applyFont="1" applyBorder="1" applyAlignment="1">
      <alignment horizontal="left" vertical="center"/>
    </xf>
    <xf numFmtId="3" fontId="12" fillId="0" borderId="13" xfId="0" applyNumberFormat="1" applyFont="1" applyBorder="1" applyAlignment="1">
      <alignment horizontal="center" vertical="center"/>
    </xf>
    <xf numFmtId="10" fontId="2" fillId="0" borderId="16" xfId="2" applyNumberFormat="1" applyFont="1" applyBorder="1" applyAlignment="1">
      <alignment horizontal="center" vertical="center"/>
    </xf>
    <xf numFmtId="10" fontId="2" fillId="0" borderId="5" xfId="2" applyNumberFormat="1" applyFont="1" applyBorder="1" applyAlignment="1">
      <alignment horizontal="center" vertical="center"/>
    </xf>
    <xf numFmtId="10" fontId="2" fillId="0" borderId="17" xfId="2" applyNumberFormat="1" applyFont="1" applyBorder="1" applyAlignment="1">
      <alignment horizontal="center" vertical="center"/>
    </xf>
    <xf numFmtId="3" fontId="2" fillId="0" borderId="16" xfId="0" applyNumberFormat="1" applyFont="1" applyBorder="1" applyAlignment="1">
      <alignment horizontal="center" vertical="center"/>
    </xf>
    <xf numFmtId="3" fontId="12" fillId="0" borderId="14" xfId="0" applyNumberFormat="1" applyFont="1" applyBorder="1" applyAlignment="1">
      <alignment horizontal="center" vertical="center"/>
    </xf>
    <xf numFmtId="3" fontId="12" fillId="0" borderId="15" xfId="0" applyNumberFormat="1" applyFont="1" applyBorder="1" applyAlignment="1">
      <alignment horizontal="center" vertical="center"/>
    </xf>
    <xf numFmtId="10" fontId="2" fillId="0" borderId="0" xfId="2" applyNumberFormat="1" applyFont="1" applyBorder="1" applyAlignment="1">
      <alignment horizontal="center" vertical="center"/>
    </xf>
    <xf numFmtId="0" fontId="2" fillId="0" borderId="34" xfId="0" applyFont="1" applyBorder="1" applyAlignment="1">
      <alignment horizontal="left" vertical="center"/>
    </xf>
    <xf numFmtId="0" fontId="2" fillId="0" borderId="35" xfId="0" applyFont="1" applyBorder="1" applyAlignment="1">
      <alignment horizontal="center" vertical="center"/>
    </xf>
    <xf numFmtId="0" fontId="2" fillId="0" borderId="29" xfId="0" applyFont="1" applyBorder="1" applyAlignment="1">
      <alignment horizontal="left" vertical="center"/>
    </xf>
    <xf numFmtId="0" fontId="2" fillId="0" borderId="36" xfId="0" applyFont="1" applyBorder="1" applyAlignment="1">
      <alignment vertical="center"/>
    </xf>
    <xf numFmtId="0" fontId="2" fillId="0" borderId="37" xfId="0" applyFont="1" applyBorder="1" applyAlignment="1">
      <alignment vertical="center"/>
    </xf>
    <xf numFmtId="0" fontId="2" fillId="0" borderId="34" xfId="0" applyFont="1" applyBorder="1" applyAlignment="1">
      <alignment horizontal="center" vertical="center"/>
    </xf>
    <xf numFmtId="0" fontId="2" fillId="0" borderId="29" xfId="0" applyFont="1" applyBorder="1" applyAlignment="1">
      <alignment horizontal="center" vertical="center"/>
    </xf>
    <xf numFmtId="10" fontId="2" fillId="0" borderId="29" xfId="2" applyNumberFormat="1" applyFont="1" applyBorder="1" applyAlignment="1">
      <alignment horizontal="center" vertical="center"/>
    </xf>
    <xf numFmtId="37" fontId="2" fillId="0" borderId="29" xfId="0" applyNumberFormat="1" applyFont="1" applyBorder="1" applyAlignment="1">
      <alignment horizontal="center" vertical="center"/>
    </xf>
    <xf numFmtId="3" fontId="2" fillId="0" borderId="29" xfId="0" applyNumberFormat="1" applyFont="1" applyBorder="1" applyAlignment="1">
      <alignment horizontal="center" vertical="center"/>
    </xf>
    <xf numFmtId="37" fontId="2" fillId="0" borderId="0" xfId="0" applyNumberFormat="1" applyFont="1" applyAlignment="1">
      <alignment horizontal="center" vertical="center"/>
    </xf>
    <xf numFmtId="0" fontId="2" fillId="0" borderId="12"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top"/>
    </xf>
    <xf numFmtId="3" fontId="10" fillId="0" borderId="6" xfId="0" applyNumberFormat="1" applyFont="1" applyBorder="1" applyAlignment="1">
      <alignment horizontal="center" vertical="center"/>
    </xf>
    <xf numFmtId="3" fontId="2" fillId="0" borderId="18" xfId="0" applyNumberFormat="1" applyFont="1" applyBorder="1" applyAlignment="1">
      <alignment horizontal="center" vertical="center"/>
    </xf>
    <xf numFmtId="3" fontId="2" fillId="0" borderId="19" xfId="0" applyNumberFormat="1" applyFont="1" applyBorder="1" applyAlignment="1">
      <alignment horizontal="center" vertical="center"/>
    </xf>
    <xf numFmtId="3" fontId="2" fillId="0" borderId="20" xfId="0" applyNumberFormat="1" applyFont="1" applyBorder="1" applyAlignment="1">
      <alignment horizontal="center" vertical="center"/>
    </xf>
    <xf numFmtId="0" fontId="3" fillId="4" borderId="7" xfId="0" applyFont="1" applyFill="1" applyBorder="1" applyAlignment="1">
      <alignment horizontal="center" vertical="center" wrapText="1"/>
    </xf>
    <xf numFmtId="10" fontId="2" fillId="0" borderId="35" xfId="2" applyNumberFormat="1" applyFont="1" applyBorder="1" applyAlignment="1">
      <alignment horizontal="center" vertical="center"/>
    </xf>
    <xf numFmtId="0" fontId="2" fillId="0" borderId="38" xfId="0" applyFont="1" applyBorder="1" applyAlignment="1">
      <alignment horizontal="left" vertical="center"/>
    </xf>
    <xf numFmtId="0" fontId="2" fillId="0" borderId="40" xfId="0" applyFont="1" applyBorder="1" applyAlignment="1">
      <alignment vertical="center"/>
    </xf>
    <xf numFmtId="10" fontId="2" fillId="0" borderId="38" xfId="2" applyNumberFormat="1" applyFont="1" applyBorder="1" applyAlignment="1">
      <alignment horizontal="center" vertical="center"/>
    </xf>
    <xf numFmtId="10" fontId="2" fillId="0" borderId="39" xfId="2" applyNumberFormat="1" applyFont="1" applyBorder="1" applyAlignment="1">
      <alignment horizontal="center" vertical="center"/>
    </xf>
    <xf numFmtId="0" fontId="2" fillId="0" borderId="37" xfId="0" applyFont="1" applyBorder="1" applyAlignment="1">
      <alignment horizontal="left" vertical="center"/>
    </xf>
    <xf numFmtId="0" fontId="2" fillId="0" borderId="40" xfId="0" applyFont="1" applyBorder="1" applyAlignment="1">
      <alignment horizontal="left" vertical="center"/>
    </xf>
    <xf numFmtId="10" fontId="12" fillId="0" borderId="38" xfId="2" applyNumberFormat="1" applyFont="1" applyBorder="1" applyAlignment="1">
      <alignment horizontal="center" vertical="center" shrinkToFit="1"/>
    </xf>
    <xf numFmtId="10" fontId="12" fillId="0" borderId="39" xfId="2" applyNumberFormat="1" applyFont="1" applyBorder="1" applyAlignment="1">
      <alignment horizontal="center" vertical="center" shrinkToFit="1"/>
    </xf>
    <xf numFmtId="10" fontId="2" fillId="0" borderId="34" xfId="2" applyNumberFormat="1" applyFont="1" applyBorder="1" applyAlignment="1">
      <alignment horizontal="center"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3" fillId="0" borderId="31" xfId="0" applyFont="1" applyBorder="1" applyAlignment="1">
      <alignment horizontal="left" vertical="center"/>
    </xf>
    <xf numFmtId="0" fontId="13" fillId="0" borderId="32" xfId="0" applyFont="1" applyBorder="1" applyAlignment="1">
      <alignment horizontal="left" vertical="center"/>
    </xf>
    <xf numFmtId="0" fontId="13" fillId="0" borderId="33" xfId="0" applyFont="1" applyBorder="1" applyAlignment="1">
      <alignment horizontal="left" vertical="center"/>
    </xf>
    <xf numFmtId="0" fontId="13" fillId="0" borderId="6" xfId="0" applyFont="1" applyBorder="1" applyAlignment="1">
      <alignment horizontal="left" vertical="center"/>
    </xf>
    <xf numFmtId="0" fontId="7" fillId="0" borderId="0" xfId="0" applyFont="1" applyAlignment="1">
      <alignment horizontal="left" vertical="top"/>
    </xf>
    <xf numFmtId="43" fontId="2" fillId="0" borderId="0" xfId="0" applyNumberFormat="1" applyFont="1" applyAlignment="1">
      <alignment horizontal="left" vertical="center"/>
    </xf>
    <xf numFmtId="165" fontId="2" fillId="0" borderId="0" xfId="0" applyNumberFormat="1" applyFont="1" applyAlignment="1">
      <alignment horizontal="left" vertical="center"/>
    </xf>
    <xf numFmtId="166" fontId="2" fillId="0" borderId="0" xfId="0" applyNumberFormat="1" applyFont="1" applyAlignment="1">
      <alignment horizontal="left" vertical="center"/>
    </xf>
    <xf numFmtId="3" fontId="1" fillId="0" borderId="0" xfId="0" applyNumberFormat="1" applyFont="1" applyAlignment="1">
      <alignment vertical="top" wrapText="1"/>
    </xf>
    <xf numFmtId="3" fontId="3" fillId="0" borderId="0" xfId="0" applyNumberFormat="1" applyFont="1" applyAlignment="1">
      <alignment horizontal="left" vertical="center" wrapText="1"/>
    </xf>
    <xf numFmtId="167" fontId="2" fillId="0" borderId="0" xfId="2" applyNumberFormat="1" applyFont="1" applyAlignment="1">
      <alignment horizontal="left" vertical="top"/>
    </xf>
    <xf numFmtId="2" fontId="2" fillId="0" borderId="0" xfId="0" applyNumberFormat="1" applyFont="1" applyAlignment="1">
      <alignment horizontal="left" vertical="top"/>
    </xf>
    <xf numFmtId="0" fontId="13" fillId="0" borderId="0" xfId="0" applyFont="1" applyAlignment="1">
      <alignment horizontal="left" vertical="center"/>
    </xf>
    <xf numFmtId="0" fontId="13" fillId="0" borderId="0" xfId="0" applyFont="1" applyAlignment="1">
      <alignment horizontal="center" vertical="center"/>
    </xf>
    <xf numFmtId="165" fontId="10" fillId="5" borderId="13" xfId="1" applyNumberFormat="1" applyFont="1" applyFill="1" applyBorder="1" applyAlignment="1">
      <alignment horizontal="center" vertical="center"/>
    </xf>
    <xf numFmtId="165" fontId="2" fillId="5" borderId="14" xfId="0" applyNumberFormat="1" applyFont="1" applyFill="1" applyBorder="1" applyAlignment="1">
      <alignment horizontal="center" vertical="center"/>
    </xf>
    <xf numFmtId="10" fontId="2" fillId="5" borderId="16" xfId="2" applyNumberFormat="1" applyFont="1" applyFill="1" applyBorder="1" applyAlignment="1">
      <alignment horizontal="center" vertical="center"/>
    </xf>
    <xf numFmtId="10" fontId="2" fillId="5" borderId="5" xfId="0" applyNumberFormat="1" applyFont="1" applyFill="1" applyBorder="1" applyAlignment="1">
      <alignment horizontal="center" vertical="center"/>
    </xf>
    <xf numFmtId="10" fontId="2" fillId="5" borderId="17" xfId="0" applyNumberFormat="1" applyFont="1" applyFill="1" applyBorder="1" applyAlignment="1">
      <alignment horizontal="center" vertical="center"/>
    </xf>
    <xf numFmtId="10" fontId="2" fillId="5" borderId="16" xfId="0" applyNumberFormat="1" applyFont="1" applyFill="1" applyBorder="1" applyAlignment="1">
      <alignment horizontal="center" vertical="center"/>
    </xf>
    <xf numFmtId="10" fontId="10" fillId="5" borderId="16" xfId="0" applyNumberFormat="1" applyFont="1" applyFill="1" applyBorder="1" applyAlignment="1">
      <alignment horizontal="center" vertical="center"/>
    </xf>
    <xf numFmtId="3" fontId="2" fillId="5" borderId="18" xfId="0" applyNumberFormat="1" applyFont="1" applyFill="1" applyBorder="1" applyAlignment="1">
      <alignment horizontal="center" vertical="center"/>
    </xf>
    <xf numFmtId="10" fontId="2" fillId="5" borderId="5" xfId="2" applyNumberFormat="1" applyFont="1" applyFill="1" applyBorder="1" applyAlignment="1">
      <alignment horizontal="center" vertical="center"/>
    </xf>
    <xf numFmtId="10" fontId="10" fillId="5" borderId="5" xfId="0" applyNumberFormat="1" applyFont="1" applyFill="1" applyBorder="1" applyAlignment="1">
      <alignment horizontal="center" vertical="center"/>
    </xf>
    <xf numFmtId="165" fontId="10" fillId="5" borderId="15" xfId="0" applyNumberFormat="1" applyFont="1" applyFill="1" applyBorder="1" applyAlignment="1">
      <alignment horizontal="center" vertical="center"/>
    </xf>
    <xf numFmtId="10" fontId="2" fillId="5" borderId="17" xfId="2" applyNumberFormat="1" applyFont="1" applyFill="1" applyBorder="1" applyAlignment="1">
      <alignment horizontal="center" vertical="center"/>
    </xf>
    <xf numFmtId="10" fontId="10" fillId="5" borderId="17" xfId="0" applyNumberFormat="1" applyFont="1" applyFill="1" applyBorder="1" applyAlignment="1">
      <alignment horizontal="center" vertical="center"/>
    </xf>
    <xf numFmtId="1" fontId="2" fillId="0" borderId="0" xfId="0" applyNumberFormat="1" applyFont="1" applyAlignment="1">
      <alignment horizontal="left" vertical="center"/>
    </xf>
    <xf numFmtId="37" fontId="2" fillId="5" borderId="13" xfId="1" applyNumberFormat="1" applyFont="1" applyFill="1" applyBorder="1" applyAlignment="1">
      <alignment horizontal="center" vertical="center"/>
    </xf>
    <xf numFmtId="37" fontId="2" fillId="5" borderId="16" xfId="1" applyNumberFormat="1" applyFont="1" applyFill="1" applyBorder="1" applyAlignment="1">
      <alignment horizontal="center" vertical="center"/>
    </xf>
    <xf numFmtId="37" fontId="2" fillId="5" borderId="18" xfId="1" applyNumberFormat="1" applyFont="1" applyFill="1" applyBorder="1" applyAlignment="1">
      <alignment horizontal="center" vertical="center"/>
    </xf>
    <xf numFmtId="37" fontId="2" fillId="5" borderId="14" xfId="1" applyNumberFormat="1" applyFont="1" applyFill="1" applyBorder="1" applyAlignment="1">
      <alignment horizontal="center" vertical="center"/>
    </xf>
    <xf numFmtId="37" fontId="2" fillId="5" borderId="15" xfId="1" applyNumberFormat="1" applyFont="1" applyFill="1" applyBorder="1" applyAlignment="1">
      <alignment horizontal="center" vertical="center"/>
    </xf>
    <xf numFmtId="37" fontId="2" fillId="5" borderId="7" xfId="1" applyNumberFormat="1" applyFont="1" applyFill="1" applyBorder="1" applyAlignment="1">
      <alignment horizontal="center" vertical="center"/>
    </xf>
    <xf numFmtId="4" fontId="12" fillId="5" borderId="16" xfId="0" applyNumberFormat="1" applyFont="1" applyFill="1" applyBorder="1" applyAlignment="1">
      <alignment horizontal="center" vertical="center" shrinkToFit="1"/>
    </xf>
    <xf numFmtId="4" fontId="1" fillId="3" borderId="8" xfId="0" applyNumberFormat="1" applyFont="1" applyFill="1" applyBorder="1" applyAlignment="1">
      <alignment horizontal="center" vertical="center" shrinkToFit="1"/>
    </xf>
    <xf numFmtId="4" fontId="2" fillId="5" borderId="13" xfId="0" applyNumberFormat="1" applyFont="1" applyFill="1" applyBorder="1" applyAlignment="1">
      <alignment horizontal="center" vertical="center"/>
    </xf>
    <xf numFmtId="4" fontId="2" fillId="5" borderId="14" xfId="0" applyNumberFormat="1" applyFont="1" applyFill="1" applyBorder="1" applyAlignment="1">
      <alignment horizontal="center" vertical="center"/>
    </xf>
    <xf numFmtId="4" fontId="2" fillId="5" borderId="15" xfId="0" applyNumberFormat="1" applyFont="1" applyFill="1" applyBorder="1" applyAlignment="1">
      <alignment horizontal="center" vertical="center"/>
    </xf>
    <xf numFmtId="4" fontId="2" fillId="5" borderId="16" xfId="0" applyNumberFormat="1" applyFont="1" applyFill="1" applyBorder="1" applyAlignment="1">
      <alignment horizontal="center" vertical="center"/>
    </xf>
    <xf numFmtId="4" fontId="2" fillId="5" borderId="18" xfId="0" applyNumberFormat="1" applyFont="1" applyFill="1" applyBorder="1" applyAlignment="1">
      <alignment horizontal="center" vertical="center"/>
    </xf>
    <xf numFmtId="4" fontId="2" fillId="5" borderId="19" xfId="0" applyNumberFormat="1" applyFont="1" applyFill="1" applyBorder="1" applyAlignment="1">
      <alignment horizontal="center" vertical="center"/>
    </xf>
    <xf numFmtId="4" fontId="2" fillId="5" borderId="20" xfId="0" applyNumberFormat="1" applyFont="1" applyFill="1" applyBorder="1" applyAlignment="1">
      <alignment horizontal="center" vertical="center"/>
    </xf>
    <xf numFmtId="4" fontId="2" fillId="0" borderId="0" xfId="0" applyNumberFormat="1" applyFont="1" applyAlignment="1">
      <alignment horizontal="center" vertical="center"/>
    </xf>
    <xf numFmtId="0" fontId="2" fillId="0" borderId="36" xfId="0" applyFont="1" applyBorder="1" applyAlignment="1">
      <alignment horizontal="center" vertical="center"/>
    </xf>
    <xf numFmtId="3" fontId="2" fillId="0" borderId="38" xfId="0" applyNumberFormat="1" applyFont="1" applyBorder="1" applyAlignment="1">
      <alignment horizontal="center" vertical="center"/>
    </xf>
    <xf numFmtId="3" fontId="2" fillId="0" borderId="39" xfId="0" applyNumberFormat="1" applyFont="1" applyBorder="1" applyAlignment="1">
      <alignment horizontal="center" vertical="center"/>
    </xf>
    <xf numFmtId="0" fontId="13" fillId="4" borderId="6" xfId="0" applyFont="1" applyFill="1" applyBorder="1" applyAlignment="1">
      <alignment horizontal="center" vertical="center"/>
    </xf>
    <xf numFmtId="4" fontId="11" fillId="0" borderId="8" xfId="0" applyNumberFormat="1" applyFont="1" applyBorder="1" applyAlignment="1">
      <alignment horizontal="center" vertical="center" wrapText="1"/>
    </xf>
    <xf numFmtId="4" fontId="1" fillId="0" borderId="8" xfId="0" applyNumberFormat="1" applyFont="1" applyBorder="1" applyAlignment="1">
      <alignment horizontal="center" vertical="center" wrapText="1"/>
    </xf>
    <xf numFmtId="4" fontId="1" fillId="0" borderId="9" xfId="0" applyNumberFormat="1" applyFont="1" applyBorder="1" applyAlignment="1">
      <alignment horizontal="center" vertical="center" shrinkToFit="1"/>
    </xf>
    <xf numFmtId="4" fontId="2" fillId="5" borderId="8" xfId="0" applyNumberFormat="1" applyFont="1" applyFill="1" applyBorder="1" applyAlignment="1">
      <alignment horizontal="center" vertical="center"/>
    </xf>
    <xf numFmtId="4" fontId="2" fillId="5" borderId="9" xfId="0" applyNumberFormat="1" applyFont="1" applyFill="1" applyBorder="1" applyAlignment="1">
      <alignment horizontal="center" vertical="center"/>
    </xf>
    <xf numFmtId="4" fontId="10" fillId="0" borderId="5" xfId="0" applyNumberFormat="1" applyFont="1" applyBorder="1" applyAlignment="1">
      <alignment horizontal="center" vertical="center" wrapText="1"/>
    </xf>
    <xf numFmtId="4" fontId="10" fillId="0" borderId="17" xfId="0" applyNumberFormat="1" applyFont="1" applyBorder="1" applyAlignment="1">
      <alignment horizontal="center" vertical="center" shrinkToFit="1"/>
    </xf>
    <xf numFmtId="4" fontId="10" fillId="0" borderId="19" xfId="0" applyNumberFormat="1" applyFont="1" applyBorder="1" applyAlignment="1">
      <alignment horizontal="center" vertical="center" wrapText="1"/>
    </xf>
    <xf numFmtId="4" fontId="10" fillId="0" borderId="20" xfId="0" applyNumberFormat="1" applyFont="1" applyBorder="1" applyAlignment="1">
      <alignment horizontal="center" vertical="center" shrinkToFit="1"/>
    </xf>
    <xf numFmtId="4" fontId="1" fillId="3" borderId="8" xfId="0" applyNumberFormat="1" applyFont="1" applyFill="1" applyBorder="1" applyAlignment="1">
      <alignment horizontal="center" vertical="center" wrapText="1"/>
    </xf>
    <xf numFmtId="4" fontId="2" fillId="0" borderId="0" xfId="0" applyNumberFormat="1" applyFont="1" applyAlignment="1">
      <alignment horizontal="left" vertical="top"/>
    </xf>
    <xf numFmtId="4" fontId="2" fillId="0" borderId="14" xfId="0" applyNumberFormat="1" applyFont="1" applyBorder="1" applyAlignment="1">
      <alignment horizontal="center" vertical="center" wrapText="1"/>
    </xf>
    <xf numFmtId="4" fontId="2" fillId="0" borderId="15" xfId="0" applyNumberFormat="1" applyFont="1" applyBorder="1" applyAlignment="1">
      <alignment horizontal="center" vertical="center" wrapText="1"/>
    </xf>
    <xf numFmtId="4" fontId="10" fillId="0" borderId="5" xfId="0" applyNumberFormat="1" applyFont="1" applyBorder="1" applyAlignment="1">
      <alignment horizontal="center" vertical="center" shrinkToFit="1"/>
    </xf>
    <xf numFmtId="4" fontId="10" fillId="0" borderId="17" xfId="0" applyNumberFormat="1" applyFont="1" applyBorder="1" applyAlignment="1">
      <alignment horizontal="center" vertical="center" wrapText="1"/>
    </xf>
    <xf numFmtId="4" fontId="10" fillId="0" borderId="19" xfId="0" applyNumberFormat="1" applyFont="1" applyBorder="1" applyAlignment="1">
      <alignment horizontal="center" vertical="center" shrinkToFit="1"/>
    </xf>
    <xf numFmtId="4" fontId="10" fillId="0" borderId="8" xfId="0" applyNumberFormat="1" applyFont="1" applyBorder="1" applyAlignment="1">
      <alignment horizontal="center" vertical="center" shrinkToFit="1"/>
    </xf>
    <xf numFmtId="4" fontId="10" fillId="0" borderId="9" xfId="0" applyNumberFormat="1" applyFont="1" applyBorder="1" applyAlignment="1">
      <alignment horizontal="center" vertical="center" shrinkToFit="1"/>
    </xf>
    <xf numFmtId="10" fontId="13" fillId="0" borderId="32" xfId="0" applyNumberFormat="1" applyFont="1" applyBorder="1" applyAlignment="1">
      <alignment horizontal="left" vertical="center"/>
    </xf>
    <xf numFmtId="0" fontId="2" fillId="4" borderId="21" xfId="0" applyFont="1" applyFill="1" applyBorder="1" applyAlignment="1">
      <alignment horizontal="left" vertical="center"/>
    </xf>
    <xf numFmtId="3" fontId="2" fillId="0" borderId="5" xfId="0" applyNumberFormat="1" applyFont="1" applyBorder="1" applyAlignment="1">
      <alignment horizontal="center" vertical="center"/>
    </xf>
    <xf numFmtId="3" fontId="2" fillId="5" borderId="5" xfId="0" applyNumberFormat="1" applyFont="1" applyFill="1" applyBorder="1" applyAlignment="1">
      <alignment horizontal="center" vertical="center"/>
    </xf>
    <xf numFmtId="3" fontId="2" fillId="5" borderId="19" xfId="0" applyNumberFormat="1" applyFont="1" applyFill="1" applyBorder="1" applyAlignment="1">
      <alignment horizontal="center" vertical="center"/>
    </xf>
    <xf numFmtId="3" fontId="2" fillId="5" borderId="20" xfId="0" applyNumberFormat="1" applyFont="1" applyFill="1" applyBorder="1" applyAlignment="1">
      <alignment horizontal="center" vertical="center"/>
    </xf>
    <xf numFmtId="3" fontId="2" fillId="0" borderId="0" xfId="0" applyNumberFormat="1" applyFont="1" applyAlignment="1">
      <alignment horizontal="center" vertical="center"/>
    </xf>
    <xf numFmtId="0" fontId="2" fillId="4" borderId="23"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3" fontId="2" fillId="0" borderId="37" xfId="0" applyNumberFormat="1" applyFont="1" applyBorder="1" applyAlignment="1">
      <alignment horizontal="center" vertical="center"/>
    </xf>
    <xf numFmtId="3" fontId="2" fillId="0" borderId="40" xfId="0" applyNumberFormat="1" applyFont="1" applyBorder="1" applyAlignment="1">
      <alignment horizontal="center" vertical="center"/>
    </xf>
    <xf numFmtId="10" fontId="2" fillId="0" borderId="21" xfId="2" applyNumberFormat="1" applyFont="1" applyBorder="1" applyAlignment="1">
      <alignment horizontal="center" vertical="center"/>
    </xf>
    <xf numFmtId="10" fontId="2" fillId="0" borderId="22" xfId="2" applyNumberFormat="1" applyFont="1" applyBorder="1" applyAlignment="1">
      <alignment horizontal="center" vertical="center"/>
    </xf>
    <xf numFmtId="10" fontId="2" fillId="0" borderId="23" xfId="2" applyNumberFormat="1" applyFont="1" applyBorder="1" applyAlignment="1">
      <alignment horizontal="center" vertical="center"/>
    </xf>
    <xf numFmtId="0" fontId="2" fillId="0" borderId="21" xfId="0" applyFont="1" applyBorder="1" applyAlignment="1">
      <alignment horizontal="left" vertical="center"/>
    </xf>
    <xf numFmtId="0" fontId="2" fillId="0" borderId="23" xfId="0" applyFont="1" applyBorder="1" applyAlignment="1">
      <alignment vertical="center"/>
    </xf>
    <xf numFmtId="0" fontId="2" fillId="0" borderId="36" xfId="0" applyFont="1" applyBorder="1" applyAlignment="1">
      <alignment horizontal="left" vertical="center"/>
    </xf>
    <xf numFmtId="0" fontId="2" fillId="0" borderId="37" xfId="0" applyFont="1" applyBorder="1" applyAlignment="1">
      <alignment horizontal="center" vertical="center"/>
    </xf>
    <xf numFmtId="10" fontId="2" fillId="0" borderId="37" xfId="2" applyNumberFormat="1" applyFont="1" applyBorder="1" applyAlignment="1">
      <alignment horizontal="center" vertical="center"/>
    </xf>
    <xf numFmtId="0" fontId="2" fillId="7" borderId="29" xfId="0" applyFont="1" applyFill="1" applyBorder="1" applyAlignment="1">
      <alignment horizontal="left" vertical="center"/>
    </xf>
    <xf numFmtId="0" fontId="2" fillId="7" borderId="37" xfId="0" applyFont="1" applyFill="1" applyBorder="1" applyAlignment="1">
      <alignment horizontal="left" vertical="center"/>
    </xf>
    <xf numFmtId="37" fontId="2" fillId="0" borderId="34" xfId="0" applyNumberFormat="1" applyFont="1" applyBorder="1" applyAlignment="1">
      <alignment horizontal="center" vertical="center"/>
    </xf>
    <xf numFmtId="10" fontId="2" fillId="0" borderId="40" xfId="2" applyNumberFormat="1" applyFont="1" applyBorder="1" applyAlignment="1">
      <alignment horizontal="center" vertical="center"/>
    </xf>
    <xf numFmtId="10" fontId="2" fillId="0" borderId="36" xfId="2" applyNumberFormat="1" applyFont="1" applyBorder="1" applyAlignment="1">
      <alignment horizontal="center" vertical="center"/>
    </xf>
    <xf numFmtId="10" fontId="12" fillId="0" borderId="40" xfId="2" applyNumberFormat="1" applyFont="1" applyBorder="1" applyAlignment="1">
      <alignment horizontal="center" vertical="center" shrinkToFit="1"/>
    </xf>
    <xf numFmtId="0" fontId="2" fillId="8" borderId="34" xfId="0" applyFont="1" applyFill="1" applyBorder="1" applyAlignment="1">
      <alignment horizontal="center" vertical="center"/>
    </xf>
    <xf numFmtId="0" fontId="2" fillId="8" borderId="35" xfId="0" applyFont="1" applyFill="1" applyBorder="1" applyAlignment="1">
      <alignment horizontal="center" vertical="center"/>
    </xf>
    <xf numFmtId="0" fontId="2" fillId="8" borderId="36" xfId="0" applyFont="1" applyFill="1" applyBorder="1" applyAlignment="1">
      <alignment horizontal="center" vertical="center"/>
    </xf>
    <xf numFmtId="3" fontId="2" fillId="8" borderId="29" xfId="0" applyNumberFormat="1" applyFont="1" applyFill="1" applyBorder="1" applyAlignment="1">
      <alignment horizontal="center" vertical="center"/>
    </xf>
    <xf numFmtId="3" fontId="2" fillId="8" borderId="0" xfId="0" applyNumberFormat="1" applyFont="1" applyFill="1" applyAlignment="1">
      <alignment horizontal="center" vertical="center"/>
    </xf>
    <xf numFmtId="3" fontId="2" fillId="8" borderId="37" xfId="0" applyNumberFormat="1" applyFont="1" applyFill="1" applyBorder="1" applyAlignment="1">
      <alignment horizontal="center" vertical="center"/>
    </xf>
    <xf numFmtId="3" fontId="2" fillId="8" borderId="38" xfId="0" applyNumberFormat="1" applyFont="1" applyFill="1" applyBorder="1" applyAlignment="1">
      <alignment horizontal="center" vertical="center"/>
    </xf>
    <xf numFmtId="3" fontId="2" fillId="8" borderId="39" xfId="0" applyNumberFormat="1" applyFont="1" applyFill="1" applyBorder="1" applyAlignment="1">
      <alignment horizontal="center" vertical="center"/>
    </xf>
    <xf numFmtId="3" fontId="2" fillId="8" borderId="40" xfId="0" applyNumberFormat="1" applyFont="1" applyFill="1" applyBorder="1" applyAlignment="1">
      <alignment horizontal="center" vertical="center"/>
    </xf>
    <xf numFmtId="10" fontId="2" fillId="8" borderId="21" xfId="0" applyNumberFormat="1" applyFont="1" applyFill="1" applyBorder="1" applyAlignment="1">
      <alignment horizontal="center" vertical="center"/>
    </xf>
    <xf numFmtId="10" fontId="2" fillId="8" borderId="22" xfId="0" applyNumberFormat="1" applyFont="1" applyFill="1" applyBorder="1" applyAlignment="1">
      <alignment horizontal="center" vertical="center"/>
    </xf>
    <xf numFmtId="10" fontId="2" fillId="8" borderId="23" xfId="0" applyNumberFormat="1" applyFont="1" applyFill="1" applyBorder="1" applyAlignment="1">
      <alignment horizontal="center" vertical="center"/>
    </xf>
    <xf numFmtId="0" fontId="10" fillId="8" borderId="34" xfId="0" applyFont="1" applyFill="1" applyBorder="1" applyAlignment="1">
      <alignment horizontal="center" vertical="center"/>
    </xf>
    <xf numFmtId="0" fontId="2" fillId="8" borderId="29" xfId="0" applyFont="1" applyFill="1" applyBorder="1" applyAlignment="1">
      <alignment horizontal="center" vertical="center"/>
    </xf>
    <xf numFmtId="0" fontId="2" fillId="8" borderId="0" xfId="0" applyFont="1" applyFill="1" applyAlignment="1">
      <alignment horizontal="center" vertical="center"/>
    </xf>
    <xf numFmtId="0" fontId="2" fillId="8" borderId="37" xfId="0" applyFont="1" applyFill="1" applyBorder="1" applyAlignment="1">
      <alignment horizontal="center" vertical="center"/>
    </xf>
    <xf numFmtId="10" fontId="2" fillId="8" borderId="29" xfId="2" applyNumberFormat="1" applyFont="1" applyFill="1" applyBorder="1" applyAlignment="1">
      <alignment horizontal="center" vertical="center"/>
    </xf>
    <xf numFmtId="10" fontId="2" fillId="8" borderId="0" xfId="2" applyNumberFormat="1" applyFont="1" applyFill="1" applyBorder="1" applyAlignment="1">
      <alignment horizontal="center" vertical="center"/>
    </xf>
    <xf numFmtId="10" fontId="2" fillId="8" borderId="37" xfId="2" applyNumberFormat="1" applyFont="1" applyFill="1" applyBorder="1" applyAlignment="1">
      <alignment horizontal="center" vertical="center"/>
    </xf>
    <xf numFmtId="10" fontId="10" fillId="8" borderId="29" xfId="0" applyNumberFormat="1" applyFont="1" applyFill="1" applyBorder="1" applyAlignment="1">
      <alignment horizontal="center" vertical="center"/>
    </xf>
    <xf numFmtId="10" fontId="10" fillId="8" borderId="0" xfId="0" applyNumberFormat="1" applyFont="1" applyFill="1" applyAlignment="1">
      <alignment horizontal="center" vertical="center"/>
    </xf>
    <xf numFmtId="10" fontId="10" fillId="8" borderId="37" xfId="0" applyNumberFormat="1" applyFont="1" applyFill="1" applyBorder="1" applyAlignment="1">
      <alignment horizontal="center" vertical="center"/>
    </xf>
    <xf numFmtId="10" fontId="2" fillId="8" borderId="0" xfId="0" applyNumberFormat="1" applyFont="1" applyFill="1" applyAlignment="1">
      <alignment horizontal="center" vertical="center"/>
    </xf>
    <xf numFmtId="10" fontId="2" fillId="8" borderId="37" xfId="0" applyNumberFormat="1" applyFont="1" applyFill="1" applyBorder="1" applyAlignment="1">
      <alignment horizontal="center" vertical="center"/>
    </xf>
    <xf numFmtId="9" fontId="10" fillId="8" borderId="29" xfId="0" applyNumberFormat="1" applyFont="1" applyFill="1" applyBorder="1" applyAlignment="1">
      <alignment horizontal="center" vertical="center"/>
    </xf>
    <xf numFmtId="9" fontId="10" fillId="8" borderId="0" xfId="0" applyNumberFormat="1" applyFont="1" applyFill="1" applyAlignment="1">
      <alignment horizontal="center" vertical="center"/>
    </xf>
    <xf numFmtId="9" fontId="10" fillId="8" borderId="37" xfId="0" applyNumberFormat="1" applyFont="1" applyFill="1" applyBorder="1" applyAlignment="1">
      <alignment horizontal="center" vertical="center"/>
    </xf>
    <xf numFmtId="3" fontId="10" fillId="8" borderId="29" xfId="0" applyNumberFormat="1" applyFont="1" applyFill="1" applyBorder="1" applyAlignment="1">
      <alignment horizontal="center" vertical="center"/>
    </xf>
    <xf numFmtId="3" fontId="10" fillId="8" borderId="0" xfId="0" applyNumberFormat="1" applyFont="1" applyFill="1" applyAlignment="1">
      <alignment horizontal="center" vertical="center"/>
    </xf>
    <xf numFmtId="3" fontId="10" fillId="8" borderId="37" xfId="0" applyNumberFormat="1" applyFont="1" applyFill="1" applyBorder="1" applyAlignment="1">
      <alignment horizontal="center" vertical="center"/>
    </xf>
    <xf numFmtId="9" fontId="2" fillId="8" borderId="38" xfId="2" applyFont="1" applyFill="1" applyBorder="1" applyAlignment="1">
      <alignment horizontal="center" vertical="center"/>
    </xf>
    <xf numFmtId="10" fontId="2" fillId="8" borderId="39" xfId="2" applyNumberFormat="1" applyFont="1" applyFill="1" applyBorder="1" applyAlignment="1">
      <alignment horizontal="center" vertical="center"/>
    </xf>
    <xf numFmtId="10" fontId="2" fillId="8" borderId="40" xfId="2" applyNumberFormat="1" applyFont="1" applyFill="1" applyBorder="1" applyAlignment="1">
      <alignment horizontal="center" vertical="center"/>
    </xf>
    <xf numFmtId="10" fontId="2" fillId="8" borderId="34" xfId="0" applyNumberFormat="1" applyFont="1" applyFill="1" applyBorder="1" applyAlignment="1">
      <alignment horizontal="center" vertical="center"/>
    </xf>
    <xf numFmtId="10" fontId="2" fillId="8" borderId="35" xfId="0" applyNumberFormat="1" applyFont="1" applyFill="1" applyBorder="1" applyAlignment="1">
      <alignment horizontal="center" vertical="center"/>
    </xf>
    <xf numFmtId="10" fontId="2" fillId="8" borderId="36" xfId="0" applyNumberFormat="1" applyFont="1" applyFill="1" applyBorder="1" applyAlignment="1">
      <alignment horizontal="center" vertical="center"/>
    </xf>
    <xf numFmtId="10" fontId="12" fillId="8" borderId="38" xfId="2" applyNumberFormat="1" applyFont="1" applyFill="1" applyBorder="1" applyAlignment="1">
      <alignment horizontal="center" vertical="center" shrinkToFit="1"/>
    </xf>
    <xf numFmtId="10" fontId="12" fillId="8" borderId="39" xfId="2" applyNumberFormat="1" applyFont="1" applyFill="1" applyBorder="1" applyAlignment="1">
      <alignment horizontal="center" vertical="center" shrinkToFit="1"/>
    </xf>
    <xf numFmtId="10" fontId="12" fillId="8" borderId="40" xfId="2" applyNumberFormat="1" applyFont="1" applyFill="1" applyBorder="1" applyAlignment="1">
      <alignment horizontal="center" vertical="center" shrinkToFit="1"/>
    </xf>
    <xf numFmtId="10" fontId="2" fillId="0" borderId="29" xfId="0" applyNumberFormat="1" applyFont="1" applyBorder="1" applyAlignment="1">
      <alignment horizontal="center" vertical="center"/>
    </xf>
    <xf numFmtId="10" fontId="2" fillId="0" borderId="0" xfId="0" applyNumberFormat="1" applyFont="1" applyAlignment="1">
      <alignment horizontal="center" vertical="center"/>
    </xf>
    <xf numFmtId="10" fontId="2" fillId="0" borderId="37" xfId="0" applyNumberFormat="1" applyFont="1" applyBorder="1" applyAlignment="1">
      <alignment horizontal="center" vertical="center"/>
    </xf>
    <xf numFmtId="10" fontId="2" fillId="8" borderId="29" xfId="0" applyNumberFormat="1" applyFont="1" applyFill="1" applyBorder="1" applyAlignment="1">
      <alignment horizontal="center" vertical="center"/>
    </xf>
    <xf numFmtId="9" fontId="2" fillId="0" borderId="39" xfId="2" applyFont="1" applyBorder="1" applyAlignment="1">
      <alignment horizontal="center" vertical="center"/>
    </xf>
    <xf numFmtId="9" fontId="2" fillId="0" borderId="40" xfId="2" applyFont="1" applyBorder="1" applyAlignment="1">
      <alignment horizontal="center" vertical="center"/>
    </xf>
    <xf numFmtId="9" fontId="2" fillId="8" borderId="39" xfId="2" applyFont="1" applyFill="1" applyBorder="1" applyAlignment="1">
      <alignment horizontal="center" vertical="center"/>
    </xf>
    <xf numFmtId="9" fontId="2" fillId="8" borderId="40" xfId="2" applyFont="1" applyFill="1" applyBorder="1" applyAlignment="1">
      <alignment horizontal="center" vertical="center"/>
    </xf>
    <xf numFmtId="10" fontId="2" fillId="7" borderId="29" xfId="2" applyNumberFormat="1" applyFont="1" applyFill="1" applyBorder="1" applyAlignment="1">
      <alignment horizontal="center" vertical="center"/>
    </xf>
    <xf numFmtId="10" fontId="2" fillId="7" borderId="0" xfId="2" applyNumberFormat="1" applyFont="1" applyFill="1" applyBorder="1" applyAlignment="1">
      <alignment horizontal="center" vertical="center"/>
    </xf>
    <xf numFmtId="10" fontId="2" fillId="7" borderId="37" xfId="2" applyNumberFormat="1" applyFont="1" applyFill="1" applyBorder="1" applyAlignment="1">
      <alignment horizontal="center" vertical="center"/>
    </xf>
    <xf numFmtId="3" fontId="2" fillId="0" borderId="17" xfId="0" applyNumberFormat="1" applyFont="1" applyBorder="1" applyAlignment="1">
      <alignment horizontal="center" vertical="center"/>
    </xf>
    <xf numFmtId="3" fontId="2" fillId="5" borderId="16" xfId="0" applyNumberFormat="1" applyFont="1" applyFill="1" applyBorder="1" applyAlignment="1">
      <alignment horizontal="center" vertical="center"/>
    </xf>
    <xf numFmtId="3" fontId="2" fillId="5" borderId="17" xfId="0" applyNumberFormat="1" applyFont="1" applyFill="1" applyBorder="1" applyAlignment="1">
      <alignment horizontal="center" vertical="center"/>
    </xf>
    <xf numFmtId="10" fontId="2" fillId="9" borderId="29" xfId="2" applyNumberFormat="1" applyFont="1" applyFill="1" applyBorder="1" applyAlignment="1">
      <alignment horizontal="center" vertical="center"/>
    </xf>
    <xf numFmtId="10" fontId="2" fillId="9" borderId="0" xfId="2" applyNumberFormat="1" applyFont="1" applyFill="1" applyBorder="1" applyAlignment="1">
      <alignment horizontal="center" vertical="center"/>
    </xf>
    <xf numFmtId="10" fontId="2" fillId="9" borderId="37" xfId="2" applyNumberFormat="1" applyFont="1" applyFill="1" applyBorder="1" applyAlignment="1">
      <alignment horizontal="center" vertical="center"/>
    </xf>
    <xf numFmtId="4" fontId="2" fillId="5" borderId="5" xfId="0" applyNumberFormat="1" applyFont="1" applyFill="1" applyBorder="1" applyAlignment="1">
      <alignment horizontal="center" vertical="center"/>
    </xf>
    <xf numFmtId="4" fontId="10" fillId="5" borderId="5" xfId="0" applyNumberFormat="1" applyFont="1" applyFill="1" applyBorder="1" applyAlignment="1">
      <alignment horizontal="center" vertical="center"/>
    </xf>
    <xf numFmtId="4" fontId="2" fillId="5" borderId="5" xfId="1" applyNumberFormat="1" applyFont="1" applyFill="1" applyBorder="1" applyAlignment="1">
      <alignment horizontal="center" vertical="center"/>
    </xf>
    <xf numFmtId="0" fontId="1" fillId="4" borderId="6" xfId="0" applyFont="1" applyFill="1" applyBorder="1" applyAlignment="1">
      <alignment horizontal="left" vertical="center" wrapText="1"/>
    </xf>
    <xf numFmtId="4" fontId="2" fillId="5" borderId="7" xfId="0" applyNumberFormat="1" applyFont="1" applyFill="1" applyBorder="1" applyAlignment="1">
      <alignment horizontal="center" vertical="center"/>
    </xf>
    <xf numFmtId="0" fontId="1" fillId="4" borderId="10"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1" fillId="0" borderId="13" xfId="0" applyFont="1" applyBorder="1" applyAlignment="1">
      <alignment horizontal="center" vertical="center" wrapText="1"/>
    </xf>
    <xf numFmtId="4" fontId="1" fillId="0" borderId="14" xfId="0" applyNumberFormat="1" applyFont="1" applyBorder="1" applyAlignment="1">
      <alignment horizontal="center" vertical="center" wrapText="1"/>
    </xf>
    <xf numFmtId="4" fontId="1" fillId="0" borderId="15" xfId="0" applyNumberFormat="1" applyFont="1" applyBorder="1" applyAlignment="1">
      <alignment horizontal="center" vertical="center" wrapText="1"/>
    </xf>
    <xf numFmtId="4" fontId="2" fillId="5" borderId="17" xfId="0" applyNumberFormat="1" applyFont="1" applyFill="1" applyBorder="1" applyAlignment="1">
      <alignment horizontal="center" vertical="center"/>
    </xf>
    <xf numFmtId="4" fontId="10" fillId="5" borderId="16" xfId="0" applyNumberFormat="1" applyFont="1" applyFill="1" applyBorder="1" applyAlignment="1">
      <alignment horizontal="center" vertical="center"/>
    </xf>
    <xf numFmtId="4" fontId="10" fillId="5" borderId="17" xfId="0" applyNumberFormat="1" applyFont="1" applyFill="1" applyBorder="1" applyAlignment="1">
      <alignment horizontal="center" vertical="center"/>
    </xf>
    <xf numFmtId="4" fontId="1" fillId="3" borderId="9" xfId="0" applyNumberFormat="1" applyFont="1" applyFill="1" applyBorder="1" applyAlignment="1">
      <alignment horizontal="center" vertical="center" wrapText="1"/>
    </xf>
    <xf numFmtId="0" fontId="1" fillId="3" borderId="6" xfId="0" applyFont="1" applyFill="1" applyBorder="1" applyAlignment="1">
      <alignment horizontal="left" vertical="center" wrapText="1"/>
    </xf>
    <xf numFmtId="4" fontId="2" fillId="5" borderId="16" xfId="1" applyNumberFormat="1" applyFont="1" applyFill="1" applyBorder="1" applyAlignment="1">
      <alignment horizontal="center" vertical="center"/>
    </xf>
    <xf numFmtId="4" fontId="2" fillId="5" borderId="17" xfId="1" applyNumberFormat="1" applyFont="1" applyFill="1" applyBorder="1" applyAlignment="1">
      <alignment horizontal="center" vertical="center"/>
    </xf>
    <xf numFmtId="4" fontId="10" fillId="5" borderId="18" xfId="0" applyNumberFormat="1" applyFont="1" applyFill="1" applyBorder="1" applyAlignment="1">
      <alignment horizontal="center" vertical="center"/>
    </xf>
    <xf numFmtId="4" fontId="10" fillId="5" borderId="19" xfId="0" applyNumberFormat="1" applyFont="1" applyFill="1" applyBorder="1" applyAlignment="1">
      <alignment horizontal="center" vertical="center"/>
    </xf>
    <xf numFmtId="4" fontId="10" fillId="5" borderId="20" xfId="0" applyNumberFormat="1" applyFont="1" applyFill="1" applyBorder="1" applyAlignment="1">
      <alignment horizontal="center" vertical="center"/>
    </xf>
    <xf numFmtId="0" fontId="3" fillId="4" borderId="6" xfId="0" applyFont="1" applyFill="1" applyBorder="1" applyAlignment="1">
      <alignment horizontal="left" vertical="center" wrapText="1"/>
    </xf>
    <xf numFmtId="4" fontId="1" fillId="3" borderId="9" xfId="0" applyNumberFormat="1" applyFont="1" applyFill="1" applyBorder="1" applyAlignment="1">
      <alignment horizontal="center" vertical="center" shrinkToFit="1"/>
    </xf>
    <xf numFmtId="4" fontId="10" fillId="5" borderId="7" xfId="0" applyNumberFormat="1" applyFont="1" applyFill="1" applyBorder="1" applyAlignment="1">
      <alignment horizontal="center" vertical="center"/>
    </xf>
    <xf numFmtId="4" fontId="10" fillId="5" borderId="8" xfId="0" applyNumberFormat="1" applyFont="1" applyFill="1" applyBorder="1" applyAlignment="1">
      <alignment horizontal="center" vertical="center"/>
    </xf>
    <xf numFmtId="4" fontId="10" fillId="5" borderId="9" xfId="0" applyNumberFormat="1" applyFont="1" applyFill="1" applyBorder="1" applyAlignment="1">
      <alignment horizontal="center" vertical="center"/>
    </xf>
    <xf numFmtId="4" fontId="12" fillId="5" borderId="5" xfId="0" applyNumberFormat="1" applyFont="1" applyFill="1" applyBorder="1" applyAlignment="1">
      <alignment horizontal="center" vertical="center" shrinkToFit="1"/>
    </xf>
    <xf numFmtId="1" fontId="1" fillId="4" borderId="9" xfId="0" applyNumberFormat="1" applyFont="1" applyFill="1" applyBorder="1" applyAlignment="1">
      <alignment horizontal="center" vertical="center" shrinkToFit="1"/>
    </xf>
    <xf numFmtId="3" fontId="3" fillId="0" borderId="15" xfId="0" applyNumberFormat="1" applyFont="1" applyBorder="1" applyAlignment="1">
      <alignment horizontal="center" vertical="center" wrapText="1"/>
    </xf>
    <xf numFmtId="4" fontId="12" fillId="5" borderId="17" xfId="0" applyNumberFormat="1" applyFont="1" applyFill="1" applyBorder="1" applyAlignment="1">
      <alignment horizontal="center" vertical="center" shrinkToFit="1"/>
    </xf>
    <xf numFmtId="3" fontId="1" fillId="3" borderId="9" xfId="0" applyNumberFormat="1" applyFont="1" applyFill="1" applyBorder="1" applyAlignment="1">
      <alignment horizontal="center" vertical="center" shrinkToFit="1"/>
    </xf>
    <xf numFmtId="0" fontId="3" fillId="0" borderId="15" xfId="0" applyFont="1" applyBorder="1" applyAlignment="1">
      <alignment horizontal="center" vertical="center" wrapText="1"/>
    </xf>
    <xf numFmtId="3" fontId="1" fillId="3" borderId="7" xfId="0" applyNumberFormat="1" applyFont="1" applyFill="1" applyBorder="1" applyAlignment="1">
      <alignment horizontal="center" vertical="center" shrinkToFit="1"/>
    </xf>
    <xf numFmtId="37" fontId="2" fillId="5" borderId="5" xfId="1" applyNumberFormat="1" applyFont="1" applyFill="1" applyBorder="1" applyAlignment="1">
      <alignment horizontal="center" vertical="center"/>
    </xf>
    <xf numFmtId="0" fontId="1" fillId="4" borderId="6" xfId="0" applyFont="1" applyFill="1" applyBorder="1" applyAlignment="1">
      <alignment horizontal="center" vertical="center" wrapText="1"/>
    </xf>
    <xf numFmtId="1" fontId="1" fillId="4" borderId="7" xfId="0" applyNumberFormat="1" applyFont="1" applyFill="1" applyBorder="1" applyAlignment="1">
      <alignment horizontal="center" vertical="center" shrinkToFit="1"/>
    </xf>
    <xf numFmtId="37" fontId="2" fillId="5" borderId="17" xfId="1" applyNumberFormat="1" applyFont="1" applyFill="1" applyBorder="1" applyAlignment="1">
      <alignment horizontal="center" vertical="center"/>
    </xf>
    <xf numFmtId="37" fontId="2" fillId="5" borderId="19" xfId="1" applyNumberFormat="1" applyFont="1" applyFill="1" applyBorder="1" applyAlignment="1">
      <alignment horizontal="center" vertical="center"/>
    </xf>
    <xf numFmtId="37" fontId="2" fillId="5" borderId="20" xfId="1" applyNumberFormat="1" applyFont="1" applyFill="1" applyBorder="1" applyAlignment="1">
      <alignment horizontal="center" vertical="center"/>
    </xf>
    <xf numFmtId="0" fontId="1" fillId="3" borderId="7" xfId="0" applyFont="1" applyFill="1" applyBorder="1" applyAlignment="1">
      <alignment vertical="top" wrapText="1"/>
    </xf>
    <xf numFmtId="0" fontId="1" fillId="3" borderId="8" xfId="0" applyFont="1" applyFill="1" applyBorder="1" applyAlignment="1">
      <alignment horizontal="center" vertical="center" wrapText="1"/>
    </xf>
    <xf numFmtId="3" fontId="10" fillId="0" borderId="9" xfId="0" applyNumberFormat="1" applyFont="1" applyBorder="1" applyAlignment="1">
      <alignment horizontal="center" vertical="center" shrinkToFit="1"/>
    </xf>
    <xf numFmtId="37" fontId="2" fillId="5" borderId="8" xfId="1" applyNumberFormat="1" applyFont="1" applyFill="1" applyBorder="1" applyAlignment="1">
      <alignment horizontal="center" vertical="center"/>
    </xf>
    <xf numFmtId="37" fontId="2" fillId="5" borderId="9" xfId="1" applyNumberFormat="1" applyFont="1" applyFill="1" applyBorder="1" applyAlignment="1">
      <alignment horizontal="center" vertical="center"/>
    </xf>
    <xf numFmtId="2" fontId="1" fillId="3" borderId="8" xfId="0" applyNumberFormat="1" applyFont="1" applyFill="1" applyBorder="1" applyAlignment="1">
      <alignment horizontal="center" vertical="center" shrinkToFit="1"/>
    </xf>
    <xf numFmtId="2" fontId="1" fillId="3" borderId="9" xfId="0" applyNumberFormat="1" applyFont="1" applyFill="1" applyBorder="1" applyAlignment="1">
      <alignment horizontal="center" vertical="center" shrinkToFit="1"/>
    </xf>
    <xf numFmtId="37" fontId="1" fillId="10" borderId="7" xfId="1" applyNumberFormat="1" applyFont="1" applyFill="1" applyBorder="1" applyAlignment="1">
      <alignment horizontal="center" vertical="center" shrinkToFit="1"/>
    </xf>
    <xf numFmtId="37" fontId="1" fillId="10" borderId="8" xfId="1" applyNumberFormat="1" applyFont="1" applyFill="1" applyBorder="1" applyAlignment="1">
      <alignment horizontal="center" vertical="center" shrinkToFit="1"/>
    </xf>
    <xf numFmtId="37" fontId="1" fillId="10" borderId="9" xfId="1" applyNumberFormat="1" applyFont="1" applyFill="1" applyBorder="1" applyAlignment="1">
      <alignment horizontal="center" vertical="center" shrinkToFit="1"/>
    </xf>
    <xf numFmtId="2" fontId="1" fillId="10" borderId="8" xfId="0" applyNumberFormat="1" applyFont="1" applyFill="1" applyBorder="1" applyAlignment="1">
      <alignment horizontal="center" vertical="center" shrinkToFit="1"/>
    </xf>
    <xf numFmtId="2" fontId="1" fillId="10" borderId="9" xfId="0" applyNumberFormat="1" applyFont="1" applyFill="1" applyBorder="1" applyAlignment="1">
      <alignment horizontal="center" vertical="center" shrinkToFit="1"/>
    </xf>
    <xf numFmtId="4" fontId="1" fillId="10" borderId="7" xfId="0" applyNumberFormat="1" applyFont="1" applyFill="1" applyBorder="1" applyAlignment="1">
      <alignment horizontal="center" vertical="center" shrinkToFit="1"/>
    </xf>
    <xf numFmtId="4" fontId="1" fillId="10" borderId="8" xfId="0" applyNumberFormat="1" applyFont="1" applyFill="1" applyBorder="1" applyAlignment="1">
      <alignment horizontal="center" vertical="center" shrinkToFit="1"/>
    </xf>
    <xf numFmtId="4" fontId="1" fillId="10" borderId="9" xfId="0" applyNumberFormat="1" applyFont="1" applyFill="1" applyBorder="1" applyAlignment="1">
      <alignment horizontal="center" vertical="center" shrinkToFit="1"/>
    </xf>
    <xf numFmtId="4" fontId="1" fillId="10" borderId="7" xfId="0" applyNumberFormat="1" applyFont="1" applyFill="1" applyBorder="1" applyAlignment="1">
      <alignment horizontal="center" vertical="center" wrapText="1"/>
    </xf>
    <xf numFmtId="4" fontId="1" fillId="10" borderId="8" xfId="0" applyNumberFormat="1" applyFont="1" applyFill="1" applyBorder="1" applyAlignment="1">
      <alignment horizontal="center" vertical="center" wrapText="1"/>
    </xf>
    <xf numFmtId="4" fontId="1" fillId="10" borderId="9" xfId="0" applyNumberFormat="1" applyFont="1" applyFill="1" applyBorder="1" applyAlignment="1">
      <alignment horizontal="center" vertical="center" wrapText="1"/>
    </xf>
    <xf numFmtId="1" fontId="2" fillId="0" borderId="38" xfId="0" applyNumberFormat="1" applyFont="1" applyBorder="1" applyAlignment="1">
      <alignment horizontal="center" vertical="center"/>
    </xf>
    <xf numFmtId="1" fontId="2" fillId="0" borderId="39" xfId="0" applyNumberFormat="1" applyFont="1" applyBorder="1" applyAlignment="1">
      <alignment horizontal="center" vertical="center"/>
    </xf>
    <xf numFmtId="1" fontId="2" fillId="0" borderId="40" xfId="0" applyNumberFormat="1" applyFont="1" applyBorder="1" applyAlignment="1">
      <alignment horizontal="center" vertical="center"/>
    </xf>
    <xf numFmtId="0" fontId="2" fillId="0" borderId="31" xfId="0" applyFont="1" applyBorder="1" applyAlignment="1">
      <alignment horizontal="left" vertical="center"/>
    </xf>
    <xf numFmtId="0" fontId="2" fillId="0" borderId="33" xfId="0" applyFont="1" applyBorder="1" applyAlignment="1">
      <alignment horizontal="left" vertical="center"/>
    </xf>
    <xf numFmtId="1" fontId="2" fillId="8" borderId="38" xfId="0" applyNumberFormat="1" applyFont="1" applyFill="1" applyBorder="1" applyAlignment="1">
      <alignment horizontal="center" vertical="center"/>
    </xf>
    <xf numFmtId="1" fontId="2" fillId="8" borderId="39" xfId="0" applyNumberFormat="1" applyFont="1" applyFill="1" applyBorder="1" applyAlignment="1">
      <alignment horizontal="center" vertical="center"/>
    </xf>
    <xf numFmtId="1" fontId="2" fillId="8" borderId="40" xfId="0" applyNumberFormat="1" applyFont="1" applyFill="1" applyBorder="1" applyAlignment="1">
      <alignment horizontal="center" vertical="center"/>
    </xf>
    <xf numFmtId="0" fontId="10" fillId="0" borderId="5" xfId="0" applyFont="1" applyBorder="1" applyAlignment="1">
      <alignment horizontal="center" vertical="center" wrapText="1"/>
    </xf>
    <xf numFmtId="37" fontId="2" fillId="0" borderId="13" xfId="0" applyNumberFormat="1" applyFont="1" applyBorder="1" applyAlignment="1">
      <alignment horizontal="center" vertical="center"/>
    </xf>
    <xf numFmtId="37" fontId="2" fillId="0" borderId="14" xfId="0" applyNumberFormat="1" applyFont="1" applyBorder="1" applyAlignment="1">
      <alignment horizontal="center" vertical="center"/>
    </xf>
    <xf numFmtId="37" fontId="2" fillId="0" borderId="15" xfId="0" applyNumberFormat="1" applyFont="1" applyBorder="1" applyAlignment="1">
      <alignment horizontal="center" vertical="center"/>
    </xf>
    <xf numFmtId="2" fontId="1" fillId="3" borderId="7" xfId="0" applyNumberFormat="1" applyFont="1" applyFill="1" applyBorder="1" applyAlignment="1">
      <alignment horizontal="center" vertical="center" shrinkToFit="1"/>
    </xf>
    <xf numFmtId="0" fontId="3" fillId="4" borderId="10"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left" vertical="center"/>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1" fontId="10" fillId="0" borderId="18" xfId="0" applyNumberFormat="1" applyFont="1" applyBorder="1" applyAlignment="1">
      <alignment horizontal="center" vertical="center" shrinkToFit="1"/>
    </xf>
    <xf numFmtId="1" fontId="10" fillId="0" borderId="19" xfId="0" applyNumberFormat="1" applyFont="1" applyBorder="1" applyAlignment="1">
      <alignment horizontal="center" vertical="center" shrinkToFit="1"/>
    </xf>
    <xf numFmtId="1" fontId="10" fillId="0" borderId="20" xfId="0" applyNumberFormat="1" applyFont="1" applyBorder="1" applyAlignment="1">
      <alignment horizontal="center" vertical="center" shrinkToFit="1"/>
    </xf>
    <xf numFmtId="4" fontId="2" fillId="0" borderId="13" xfId="0" applyNumberFormat="1" applyFont="1" applyBorder="1" applyAlignment="1">
      <alignment horizontal="center" vertical="center"/>
    </xf>
    <xf numFmtId="4" fontId="2" fillId="0" borderId="14" xfId="0" applyNumberFormat="1" applyFont="1" applyBorder="1" applyAlignment="1">
      <alignment horizontal="center" vertical="center"/>
    </xf>
    <xf numFmtId="4" fontId="2" fillId="0" borderId="15" xfId="0" applyNumberFormat="1" applyFont="1" applyBorder="1" applyAlignment="1">
      <alignment horizontal="center" vertical="center"/>
    </xf>
    <xf numFmtId="2" fontId="2" fillId="3" borderId="7" xfId="0" applyNumberFormat="1" applyFont="1" applyFill="1" applyBorder="1" applyAlignment="1">
      <alignment horizontal="center" vertical="center"/>
    </xf>
    <xf numFmtId="2" fontId="2" fillId="3" borderId="8" xfId="0" applyNumberFormat="1" applyFont="1" applyFill="1" applyBorder="1" applyAlignment="1">
      <alignment horizontal="center" vertical="center"/>
    </xf>
    <xf numFmtId="2" fontId="2" fillId="3" borderId="9" xfId="0" applyNumberFormat="1" applyFont="1" applyFill="1" applyBorder="1" applyAlignment="1">
      <alignment horizontal="center" vertical="center"/>
    </xf>
    <xf numFmtId="0" fontId="4" fillId="0" borderId="29" xfId="0" applyFont="1" applyBorder="1" applyAlignment="1">
      <alignment horizontal="left" vertical="center" wrapText="1"/>
    </xf>
    <xf numFmtId="3" fontId="12" fillId="0" borderId="18" xfId="0" applyNumberFormat="1" applyFont="1" applyBorder="1" applyAlignment="1">
      <alignment horizontal="center" vertical="center" shrinkToFit="1"/>
    </xf>
    <xf numFmtId="3" fontId="2" fillId="8" borderId="5" xfId="0" applyNumberFormat="1" applyFont="1" applyFill="1" applyBorder="1" applyAlignment="1">
      <alignment horizontal="center" vertical="center"/>
    </xf>
    <xf numFmtId="10" fontId="2" fillId="8" borderId="5" xfId="0" applyNumberFormat="1" applyFont="1" applyFill="1" applyBorder="1" applyAlignment="1">
      <alignment horizontal="center" vertical="center"/>
    </xf>
    <xf numFmtId="10" fontId="2" fillId="8" borderId="5" xfId="2" applyNumberFormat="1" applyFont="1" applyFill="1" applyBorder="1" applyAlignment="1">
      <alignment horizontal="center" vertical="center"/>
    </xf>
    <xf numFmtId="2" fontId="2" fillId="8" borderId="5" xfId="0" applyNumberFormat="1" applyFont="1" applyFill="1" applyBorder="1" applyAlignment="1">
      <alignment horizontal="center" vertical="center"/>
    </xf>
    <xf numFmtId="10" fontId="2" fillId="0" borderId="5" xfId="0" applyNumberFormat="1" applyFont="1" applyBorder="1" applyAlignment="1">
      <alignment horizontal="center" vertical="center"/>
    </xf>
    <xf numFmtId="2" fontId="2" fillId="0" borderId="5" xfId="0" applyNumberFormat="1" applyFont="1" applyBorder="1" applyAlignment="1">
      <alignment horizontal="center" vertical="center"/>
    </xf>
    <xf numFmtId="10" fontId="2" fillId="0" borderId="5" xfId="0" applyNumberFormat="1" applyFont="1" applyBorder="1" applyAlignment="1">
      <alignment horizontal="left" vertical="top"/>
    </xf>
    <xf numFmtId="3" fontId="2" fillId="0" borderId="5" xfId="0" applyNumberFormat="1" applyFont="1" applyBorder="1" applyAlignment="1">
      <alignment horizontal="left" vertical="top"/>
    </xf>
    <xf numFmtId="0" fontId="2" fillId="0" borderId="5" xfId="0" applyFont="1" applyBorder="1" applyAlignment="1">
      <alignment horizontal="left" vertical="top"/>
    </xf>
    <xf numFmtId="10" fontId="2" fillId="8" borderId="5" xfId="0" applyNumberFormat="1" applyFont="1" applyFill="1" applyBorder="1" applyAlignment="1">
      <alignment horizontal="left" vertical="top"/>
    </xf>
    <xf numFmtId="3" fontId="2" fillId="8" borderId="5" xfId="0" applyNumberFormat="1" applyFont="1" applyFill="1" applyBorder="1" applyAlignment="1">
      <alignment horizontal="left" vertical="top"/>
    </xf>
    <xf numFmtId="0" fontId="2" fillId="8" borderId="5" xfId="0" applyFont="1" applyFill="1" applyBorder="1" applyAlignment="1">
      <alignment horizontal="left" vertical="top"/>
    </xf>
    <xf numFmtId="3" fontId="2" fillId="8" borderId="13" xfId="0" applyNumberFormat="1" applyFont="1" applyFill="1" applyBorder="1" applyAlignment="1">
      <alignment horizontal="center" vertical="center"/>
    </xf>
    <xf numFmtId="3" fontId="2" fillId="8" borderId="14" xfId="0" applyNumberFormat="1" applyFont="1" applyFill="1" applyBorder="1" applyAlignment="1">
      <alignment horizontal="center" vertical="center"/>
    </xf>
    <xf numFmtId="3" fontId="2" fillId="8" borderId="15" xfId="0" applyNumberFormat="1" applyFont="1" applyFill="1" applyBorder="1" applyAlignment="1">
      <alignment horizontal="center" vertical="center"/>
    </xf>
    <xf numFmtId="10" fontId="2" fillId="8" borderId="16" xfId="0" applyNumberFormat="1" applyFont="1" applyFill="1" applyBorder="1" applyAlignment="1">
      <alignment horizontal="center" vertical="center"/>
    </xf>
    <xf numFmtId="10" fontId="2" fillId="8" borderId="17" xfId="0" applyNumberFormat="1" applyFont="1" applyFill="1" applyBorder="1" applyAlignment="1">
      <alignment horizontal="center" vertical="center"/>
    </xf>
    <xf numFmtId="3" fontId="2" fillId="8" borderId="16" xfId="0" applyNumberFormat="1" applyFont="1" applyFill="1" applyBorder="1" applyAlignment="1">
      <alignment horizontal="center" vertical="center"/>
    </xf>
    <xf numFmtId="3" fontId="2" fillId="8" borderId="17" xfId="0" applyNumberFormat="1" applyFont="1" applyFill="1" applyBorder="1" applyAlignment="1">
      <alignment horizontal="center" vertical="center"/>
    </xf>
    <xf numFmtId="10" fontId="2" fillId="8" borderId="16" xfId="2" applyNumberFormat="1" applyFont="1" applyFill="1" applyBorder="1" applyAlignment="1">
      <alignment horizontal="center" vertical="center"/>
    </xf>
    <xf numFmtId="10" fontId="2" fillId="8" borderId="17" xfId="2" applyNumberFormat="1" applyFont="1" applyFill="1" applyBorder="1" applyAlignment="1">
      <alignment horizontal="center" vertical="center"/>
    </xf>
    <xf numFmtId="2" fontId="2" fillId="8" borderId="16" xfId="0" applyNumberFormat="1" applyFont="1" applyFill="1" applyBorder="1" applyAlignment="1">
      <alignment horizontal="center" vertical="center"/>
    </xf>
    <xf numFmtId="2" fontId="2" fillId="8" borderId="17" xfId="0" applyNumberFormat="1" applyFont="1" applyFill="1" applyBorder="1" applyAlignment="1">
      <alignment horizontal="center" vertical="center"/>
    </xf>
    <xf numFmtId="4" fontId="2" fillId="8" borderId="18" xfId="0" applyNumberFormat="1" applyFont="1" applyFill="1" applyBorder="1" applyAlignment="1">
      <alignment horizontal="center" vertical="center"/>
    </xf>
    <xf numFmtId="4" fontId="2" fillId="8" borderId="19" xfId="0" applyNumberFormat="1" applyFont="1" applyFill="1" applyBorder="1" applyAlignment="1">
      <alignment horizontal="center" vertical="center"/>
    </xf>
    <xf numFmtId="4" fontId="2" fillId="8" borderId="20" xfId="0" applyNumberFormat="1" applyFont="1" applyFill="1" applyBorder="1" applyAlignment="1">
      <alignment horizontal="center" vertical="center"/>
    </xf>
    <xf numFmtId="3" fontId="2" fillId="0" borderId="13" xfId="0" applyNumberFormat="1" applyFont="1" applyBorder="1" applyAlignment="1">
      <alignment horizontal="center" vertical="center"/>
    </xf>
    <xf numFmtId="3" fontId="2" fillId="0" borderId="14" xfId="0" applyNumberFormat="1" applyFont="1" applyBorder="1" applyAlignment="1">
      <alignment horizontal="center" vertical="center"/>
    </xf>
    <xf numFmtId="3" fontId="2" fillId="0" borderId="15" xfId="0" applyNumberFormat="1" applyFont="1" applyBorder="1" applyAlignment="1">
      <alignment horizontal="center" vertical="center"/>
    </xf>
    <xf numFmtId="10" fontId="2" fillId="0" borderId="16" xfId="0" applyNumberFormat="1" applyFont="1" applyBorder="1" applyAlignment="1">
      <alignment horizontal="center" vertical="center"/>
    </xf>
    <xf numFmtId="10" fontId="2" fillId="0" borderId="17" xfId="0" applyNumberFormat="1" applyFont="1" applyBorder="1" applyAlignment="1">
      <alignment horizontal="center" vertical="center"/>
    </xf>
    <xf numFmtId="2" fontId="2" fillId="0" borderId="16" xfId="0" applyNumberFormat="1" applyFont="1" applyBorder="1" applyAlignment="1">
      <alignment horizontal="center" vertical="center"/>
    </xf>
    <xf numFmtId="2" fontId="2" fillId="0" borderId="17" xfId="0" applyNumberFormat="1" applyFont="1" applyBorder="1" applyAlignment="1">
      <alignment horizontal="center" vertical="center"/>
    </xf>
    <xf numFmtId="4" fontId="2" fillId="0" borderId="18" xfId="0" applyNumberFormat="1" applyFont="1" applyBorder="1" applyAlignment="1">
      <alignment horizontal="center" vertical="center"/>
    </xf>
    <xf numFmtId="4" fontId="2" fillId="0" borderId="19" xfId="0" applyNumberFormat="1" applyFont="1" applyBorder="1" applyAlignment="1">
      <alignment horizontal="center" vertical="center"/>
    </xf>
    <xf numFmtId="4" fontId="2" fillId="0" borderId="20" xfId="0" applyNumberFormat="1" applyFont="1" applyBorder="1" applyAlignment="1">
      <alignment horizontal="center" vertical="center"/>
    </xf>
    <xf numFmtId="0" fontId="2" fillId="4" borderId="11" xfId="0" applyFont="1" applyFill="1" applyBorder="1" applyAlignment="1">
      <alignment horizontal="left" vertical="top"/>
    </xf>
    <xf numFmtId="10" fontId="2" fillId="0" borderId="13" xfId="0" applyNumberFormat="1" applyFont="1" applyBorder="1" applyAlignment="1">
      <alignment horizontal="left" vertical="top"/>
    </xf>
    <xf numFmtId="10" fontId="2" fillId="0" borderId="14" xfId="0" applyNumberFormat="1" applyFont="1" applyBorder="1" applyAlignment="1">
      <alignment horizontal="left" vertical="top"/>
    </xf>
    <xf numFmtId="10" fontId="2" fillId="0" borderId="15" xfId="0" applyNumberFormat="1" applyFont="1" applyBorder="1" applyAlignment="1">
      <alignment horizontal="left" vertical="top"/>
    </xf>
    <xf numFmtId="10" fontId="2" fillId="0" borderId="16" xfId="0" applyNumberFormat="1" applyFont="1" applyBorder="1" applyAlignment="1">
      <alignment horizontal="left" vertical="top"/>
    </xf>
    <xf numFmtId="10" fontId="2" fillId="0" borderId="17" xfId="0" applyNumberFormat="1" applyFont="1" applyBorder="1" applyAlignment="1">
      <alignment horizontal="left" vertical="top"/>
    </xf>
    <xf numFmtId="3" fontId="2" fillId="0" borderId="16" xfId="0" applyNumberFormat="1" applyFont="1" applyBorder="1" applyAlignment="1">
      <alignment horizontal="left" vertical="top"/>
    </xf>
    <xf numFmtId="3" fontId="2" fillId="0" borderId="17" xfId="0" applyNumberFormat="1" applyFont="1" applyBorder="1" applyAlignment="1">
      <alignment horizontal="left" vertical="top"/>
    </xf>
    <xf numFmtId="0" fontId="2" fillId="0" borderId="16" xfId="0" applyFont="1" applyBorder="1" applyAlignment="1">
      <alignment horizontal="left" vertical="top"/>
    </xf>
    <xf numFmtId="0" fontId="2" fillId="0" borderId="17" xfId="0" applyFont="1" applyBorder="1" applyAlignment="1">
      <alignment horizontal="left" vertical="top"/>
    </xf>
    <xf numFmtId="3" fontId="2" fillId="0" borderId="19" xfId="0" applyNumberFormat="1" applyFont="1" applyBorder="1" applyAlignment="1">
      <alignment horizontal="left" vertical="top"/>
    </xf>
    <xf numFmtId="3" fontId="2" fillId="0" borderId="20" xfId="0" applyNumberFormat="1" applyFont="1" applyBorder="1" applyAlignment="1">
      <alignment horizontal="left" vertical="top"/>
    </xf>
    <xf numFmtId="10" fontId="2" fillId="8" borderId="13" xfId="0" applyNumberFormat="1" applyFont="1" applyFill="1" applyBorder="1" applyAlignment="1">
      <alignment horizontal="left" vertical="top"/>
    </xf>
    <xf numFmtId="10" fontId="2" fillId="8" borderId="14" xfId="0" applyNumberFormat="1" applyFont="1" applyFill="1" applyBorder="1" applyAlignment="1">
      <alignment horizontal="left" vertical="top"/>
    </xf>
    <xf numFmtId="10" fontId="2" fillId="8" borderId="15" xfId="0" applyNumberFormat="1" applyFont="1" applyFill="1" applyBorder="1" applyAlignment="1">
      <alignment horizontal="left" vertical="top"/>
    </xf>
    <xf numFmtId="10" fontId="2" fillId="8" borderId="16" xfId="0" applyNumberFormat="1" applyFont="1" applyFill="1" applyBorder="1" applyAlignment="1">
      <alignment horizontal="left" vertical="top"/>
    </xf>
    <xf numFmtId="10" fontId="2" fillId="8" borderId="17" xfId="0" applyNumberFormat="1" applyFont="1" applyFill="1" applyBorder="1" applyAlignment="1">
      <alignment horizontal="left" vertical="top"/>
    </xf>
    <xf numFmtId="3" fontId="2" fillId="8" borderId="16" xfId="0" applyNumberFormat="1" applyFont="1" applyFill="1" applyBorder="1" applyAlignment="1">
      <alignment horizontal="left" vertical="top"/>
    </xf>
    <xf numFmtId="3" fontId="2" fillId="8" borderId="17" xfId="0" applyNumberFormat="1" applyFont="1" applyFill="1" applyBorder="1" applyAlignment="1">
      <alignment horizontal="left" vertical="top"/>
    </xf>
    <xf numFmtId="0" fontId="2" fillId="8" borderId="16" xfId="0" applyFont="1" applyFill="1" applyBorder="1" applyAlignment="1">
      <alignment horizontal="left" vertical="top"/>
    </xf>
    <xf numFmtId="0" fontId="2" fillId="8" borderId="17" xfId="0" applyFont="1" applyFill="1" applyBorder="1" applyAlignment="1">
      <alignment horizontal="left" vertical="top"/>
    </xf>
    <xf numFmtId="3" fontId="2" fillId="8" borderId="18" xfId="0" applyNumberFormat="1" applyFont="1" applyFill="1" applyBorder="1" applyAlignment="1">
      <alignment horizontal="left" vertical="top"/>
    </xf>
    <xf numFmtId="3" fontId="2" fillId="8" borderId="19" xfId="0" applyNumberFormat="1" applyFont="1" applyFill="1" applyBorder="1" applyAlignment="1">
      <alignment horizontal="left" vertical="top"/>
    </xf>
    <xf numFmtId="3" fontId="2" fillId="8" borderId="20" xfId="0" applyNumberFormat="1" applyFont="1" applyFill="1" applyBorder="1" applyAlignment="1">
      <alignment horizontal="left" vertical="top"/>
    </xf>
    <xf numFmtId="0" fontId="2" fillId="0" borderId="6" xfId="0" applyFont="1" applyBorder="1" applyAlignment="1">
      <alignment horizontal="center" vertical="center"/>
    </xf>
    <xf numFmtId="0" fontId="2" fillId="4" borderId="6" xfId="0" applyFont="1" applyFill="1" applyBorder="1" applyAlignment="1">
      <alignment horizontal="left" vertical="top"/>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13" fillId="0" borderId="10" xfId="0" applyFont="1" applyBorder="1" applyAlignment="1">
      <alignment horizontal="left" vertical="center"/>
    </xf>
    <xf numFmtId="0" fontId="13" fillId="0" borderId="11" xfId="0" applyFont="1" applyBorder="1" applyAlignment="1">
      <alignment horizontal="left" vertical="center"/>
    </xf>
    <xf numFmtId="168" fontId="2" fillId="7" borderId="32" xfId="0" applyNumberFormat="1" applyFont="1" applyFill="1" applyBorder="1" applyAlignment="1">
      <alignment horizontal="left" vertical="center" wrapText="1"/>
    </xf>
    <xf numFmtId="0" fontId="2" fillId="7" borderId="32" xfId="0" applyFont="1" applyFill="1" applyBorder="1" applyAlignment="1">
      <alignment horizontal="left" vertical="center" wrapText="1"/>
    </xf>
    <xf numFmtId="10" fontId="2" fillId="0" borderId="10" xfId="2" applyNumberFormat="1" applyFont="1" applyBorder="1" applyAlignment="1">
      <alignment horizontal="center" vertical="center"/>
    </xf>
    <xf numFmtId="10" fontId="2" fillId="0" borderId="11" xfId="2" applyNumberFormat="1" applyFont="1" applyBorder="1" applyAlignment="1">
      <alignment horizontal="center" vertical="center"/>
    </xf>
    <xf numFmtId="10" fontId="2" fillId="0" borderId="12" xfId="2" applyNumberFormat="1" applyFont="1" applyBorder="1" applyAlignment="1">
      <alignment horizontal="center" vertical="center"/>
    </xf>
    <xf numFmtId="0" fontId="2" fillId="0" borderId="41" xfId="0" applyFont="1" applyBorder="1" applyAlignment="1">
      <alignment horizontal="center" vertical="center"/>
    </xf>
    <xf numFmtId="0" fontId="2" fillId="0" borderId="30" xfId="0" applyFont="1" applyBorder="1" applyAlignment="1">
      <alignment horizontal="center" vertical="center"/>
    </xf>
    <xf numFmtId="0" fontId="2" fillId="0" borderId="0" xfId="0" applyFont="1" applyAlignment="1">
      <alignment horizontal="center" vertical="top"/>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2" fillId="4" borderId="7" xfId="0" applyFont="1" applyFill="1" applyBorder="1" applyAlignment="1">
      <alignment horizontal="center" vertical="top"/>
    </xf>
    <xf numFmtId="0" fontId="2" fillId="4" borderId="8" xfId="0" applyFont="1" applyFill="1" applyBorder="1" applyAlignment="1">
      <alignment horizontal="center" vertical="top"/>
    </xf>
    <xf numFmtId="0" fontId="2" fillId="4" borderId="9" xfId="0" applyFont="1" applyFill="1" applyBorder="1" applyAlignment="1">
      <alignment horizontal="center" vertical="top"/>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7" xfId="0" applyFont="1" applyFill="1" applyBorder="1" applyAlignment="1">
      <alignment horizontal="center" vertical="top" wrapText="1"/>
    </xf>
    <xf numFmtId="0" fontId="1" fillId="4" borderId="8" xfId="0" applyFont="1" applyFill="1" applyBorder="1" applyAlignment="1">
      <alignment horizontal="center" vertical="top" wrapText="1"/>
    </xf>
    <xf numFmtId="0" fontId="1" fillId="4" borderId="9" xfId="0" applyFont="1" applyFill="1" applyBorder="1" applyAlignment="1">
      <alignment horizontal="center" vertical="top" wrapText="1"/>
    </xf>
    <xf numFmtId="0" fontId="1" fillId="0" borderId="0" xfId="0" applyFont="1" applyAlignment="1">
      <alignment horizontal="right" vertical="top" wrapText="1" indent="4"/>
    </xf>
    <xf numFmtId="0" fontId="4" fillId="4" borderId="28"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5" xfId="0" applyFont="1" applyFill="1" applyBorder="1" applyAlignment="1">
      <alignment horizontal="center" vertical="center"/>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1" fontId="5" fillId="4" borderId="7" xfId="0" applyNumberFormat="1" applyFont="1" applyFill="1" applyBorder="1" applyAlignment="1">
      <alignment horizontal="center" vertical="center" shrinkToFit="1"/>
    </xf>
    <xf numFmtId="1" fontId="5" fillId="4" borderId="8" xfId="0" applyNumberFormat="1" applyFont="1" applyFill="1" applyBorder="1" applyAlignment="1">
      <alignment horizontal="center" vertical="center" shrinkToFit="1"/>
    </xf>
    <xf numFmtId="1" fontId="5" fillId="4" borderId="9" xfId="0" applyNumberFormat="1" applyFont="1" applyFill="1" applyBorder="1" applyAlignment="1">
      <alignment horizontal="center" vertical="center" shrinkToFi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0" borderId="1" xfId="0" applyFont="1" applyBorder="1" applyAlignment="1">
      <alignment horizontal="left" vertical="top" wrapText="1" indent="42"/>
    </xf>
    <xf numFmtId="0" fontId="2" fillId="0" borderId="0" xfId="0" applyFont="1" applyAlignment="1">
      <alignment horizontal="center" vertical="top" wrapText="1"/>
    </xf>
    <xf numFmtId="0" fontId="8" fillId="6" borderId="29" xfId="0" applyFont="1" applyFill="1" applyBorder="1" applyAlignment="1">
      <alignment vertical="center" wrapText="1"/>
    </xf>
    <xf numFmtId="0" fontId="8" fillId="6" borderId="0" xfId="0" applyFont="1" applyFill="1" applyAlignment="1">
      <alignment vertical="center" wrapText="1"/>
    </xf>
    <xf numFmtId="0" fontId="8" fillId="6" borderId="37" xfId="0" applyFont="1" applyFill="1" applyBorder="1" applyAlignment="1">
      <alignment vertical="center" wrapText="1"/>
    </xf>
    <xf numFmtId="0" fontId="2" fillId="0" borderId="8" xfId="0" applyFont="1" applyBorder="1" applyAlignment="1">
      <alignment horizontal="center" vertical="center" wrapText="1"/>
    </xf>
    <xf numFmtId="3" fontId="2" fillId="0" borderId="8" xfId="0" applyNumberFormat="1" applyFont="1" applyBorder="1" applyAlignment="1">
      <alignment horizontal="center" vertical="center" wrapText="1"/>
    </xf>
    <xf numFmtId="3" fontId="2" fillId="0" borderId="9" xfId="0" applyNumberFormat="1" applyFont="1" applyBorder="1" applyAlignment="1">
      <alignment horizontal="center" vertical="center" wrapText="1"/>
    </xf>
    <xf numFmtId="0" fontId="2" fillId="4" borderId="7"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ECECEC"/>
      <color rgb="FFD6EDF2"/>
      <color rgb="FFE8F5F8"/>
      <color rgb="FFFEF4EC"/>
      <color rgb="FFFFFDFB"/>
      <color rgb="FFFEF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(in 1000€)</a:t>
            </a:r>
            <a:r>
              <a:rPr lang="en-US" baseline="0"/>
              <a:t> </a:t>
            </a:r>
            <a:r>
              <a:rPr lang="en-US"/>
              <a:t>and</a:t>
            </a:r>
            <a:r>
              <a:rPr lang="en-US" baseline="0"/>
              <a:t> EBIT margin (%)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Summary!$B$4</c:f>
              <c:strCache>
                <c:ptCount val="1"/>
                <c:pt idx="0">
                  <c:v>Revenue</c:v>
                </c:pt>
              </c:strCache>
            </c:strRef>
          </c:tx>
          <c:spPr>
            <a:solidFill>
              <a:schemeClr val="accent1"/>
            </a:solidFill>
            <a:ln>
              <a:noFill/>
            </a:ln>
            <a:effectLst/>
          </c:spPr>
          <c:invertIfNegative val="0"/>
          <c:cat>
            <c:numRef>
              <c:f>Summary!$C$3:$J$3</c:f>
              <c:numCache>
                <c:formatCode>General</c:formatCode>
                <c:ptCount val="8"/>
                <c:pt idx="0">
                  <c:v>2023</c:v>
                </c:pt>
                <c:pt idx="1">
                  <c:v>2024</c:v>
                </c:pt>
                <c:pt idx="2">
                  <c:v>2025</c:v>
                </c:pt>
                <c:pt idx="3">
                  <c:v>2026</c:v>
                </c:pt>
                <c:pt idx="4">
                  <c:v>2027</c:v>
                </c:pt>
                <c:pt idx="5">
                  <c:v>2028</c:v>
                </c:pt>
                <c:pt idx="6">
                  <c:v>2029</c:v>
                </c:pt>
                <c:pt idx="7">
                  <c:v>2030</c:v>
                </c:pt>
              </c:numCache>
            </c:numRef>
          </c:cat>
          <c:val>
            <c:numRef>
              <c:f>Summary!$C$4:$J$4</c:f>
              <c:numCache>
                <c:formatCode>#,##0</c:formatCode>
                <c:ptCount val="8"/>
                <c:pt idx="0">
                  <c:v>5970146</c:v>
                </c:pt>
                <c:pt idx="1">
                  <c:v>6676668</c:v>
                </c:pt>
                <c:pt idx="2">
                  <c:v>7145768</c:v>
                </c:pt>
                <c:pt idx="3">
                  <c:v>7600000</c:v>
                </c:pt>
                <c:pt idx="4">
                  <c:v>7928131.0729283113</c:v>
                </c:pt>
                <c:pt idx="5">
                  <c:v>8270429.2512541339</c:v>
                </c:pt>
                <c:pt idx="6">
                  <c:v>8627506.2017530426</c:v>
                </c:pt>
                <c:pt idx="7">
                  <c:v>9000000</c:v>
                </c:pt>
              </c:numCache>
            </c:numRef>
          </c:val>
          <c:extLst>
            <c:ext xmlns:c16="http://schemas.microsoft.com/office/drawing/2014/chart" uri="{C3380CC4-5D6E-409C-BE32-E72D297353CC}">
              <c16:uniqueId val="{00000000-7C27-4D2D-BF78-7FD65E6559B6}"/>
            </c:ext>
          </c:extLst>
        </c:ser>
        <c:dLbls>
          <c:showLegendKey val="0"/>
          <c:showVal val="0"/>
          <c:showCatName val="0"/>
          <c:showSerName val="0"/>
          <c:showPercent val="0"/>
          <c:showBubbleSize val="0"/>
        </c:dLbls>
        <c:gapWidth val="219"/>
        <c:overlap val="-27"/>
        <c:axId val="334493664"/>
        <c:axId val="325088080"/>
      </c:barChart>
      <c:lineChart>
        <c:grouping val="standard"/>
        <c:varyColors val="0"/>
        <c:ser>
          <c:idx val="1"/>
          <c:order val="1"/>
          <c:tx>
            <c:strRef>
              <c:f>Summary!$B$7</c:f>
              <c:strCache>
                <c:ptCount val="1"/>
                <c:pt idx="0">
                  <c:v>EBIT margin %</c:v>
                </c:pt>
              </c:strCache>
            </c:strRef>
          </c:tx>
          <c:spPr>
            <a:ln w="28575" cap="rnd">
              <a:solidFill>
                <a:schemeClr val="accent2"/>
              </a:solidFill>
              <a:round/>
            </a:ln>
            <a:effectLst/>
          </c:spPr>
          <c:marker>
            <c:symbol val="none"/>
          </c:marker>
          <c:cat>
            <c:numRef>
              <c:f>Summary!$C$3:$J$3</c:f>
              <c:numCache>
                <c:formatCode>General</c:formatCode>
                <c:ptCount val="8"/>
                <c:pt idx="0">
                  <c:v>2023</c:v>
                </c:pt>
                <c:pt idx="1">
                  <c:v>2024</c:v>
                </c:pt>
                <c:pt idx="2">
                  <c:v>2025</c:v>
                </c:pt>
                <c:pt idx="3">
                  <c:v>2026</c:v>
                </c:pt>
                <c:pt idx="4">
                  <c:v>2027</c:v>
                </c:pt>
                <c:pt idx="5">
                  <c:v>2028</c:v>
                </c:pt>
                <c:pt idx="6">
                  <c:v>2029</c:v>
                </c:pt>
                <c:pt idx="7">
                  <c:v>2030</c:v>
                </c:pt>
              </c:numCache>
            </c:numRef>
          </c:cat>
          <c:val>
            <c:numRef>
              <c:f>Summary!$C$7:$J$7</c:f>
              <c:numCache>
                <c:formatCode>0.00%</c:formatCode>
                <c:ptCount val="8"/>
                <c:pt idx="0">
                  <c:v>0.27090945514565307</c:v>
                </c:pt>
                <c:pt idx="1">
                  <c:v>0.28273848572371729</c:v>
                </c:pt>
                <c:pt idx="2">
                  <c:v>0.29523992382624231</c:v>
                </c:pt>
                <c:pt idx="3">
                  <c:v>0.29665863021914796</c:v>
                </c:pt>
                <c:pt idx="4">
                  <c:v>0.29659016542336492</c:v>
                </c:pt>
                <c:pt idx="5">
                  <c:v>0.29652453426222947</c:v>
                </c:pt>
                <c:pt idx="6">
                  <c:v>0.29646161945670446</c:v>
                </c:pt>
                <c:pt idx="7">
                  <c:v>0.29640130858172115</c:v>
                </c:pt>
              </c:numCache>
            </c:numRef>
          </c:val>
          <c:smooth val="0"/>
          <c:extLst>
            <c:ext xmlns:c16="http://schemas.microsoft.com/office/drawing/2014/chart" uri="{C3380CC4-5D6E-409C-BE32-E72D297353CC}">
              <c16:uniqueId val="{00000001-7C27-4D2D-BF78-7FD65E6559B6}"/>
            </c:ext>
          </c:extLst>
        </c:ser>
        <c:dLbls>
          <c:showLegendKey val="0"/>
          <c:showVal val="0"/>
          <c:showCatName val="0"/>
          <c:showSerName val="0"/>
          <c:showPercent val="0"/>
          <c:showBubbleSize val="0"/>
        </c:dLbls>
        <c:marker val="1"/>
        <c:smooth val="0"/>
        <c:axId val="334491808"/>
        <c:axId val="325106800"/>
      </c:lineChart>
      <c:catAx>
        <c:axId val="3344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88080"/>
        <c:crosses val="autoZero"/>
        <c:auto val="1"/>
        <c:lblAlgn val="ctr"/>
        <c:lblOffset val="100"/>
        <c:noMultiLvlLbl val="0"/>
      </c:catAx>
      <c:valAx>
        <c:axId val="32508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93664"/>
        <c:crosses val="autoZero"/>
        <c:crossBetween val="between"/>
      </c:valAx>
      <c:valAx>
        <c:axId val="3251068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91808"/>
        <c:crosses val="max"/>
        <c:crossBetween val="between"/>
      </c:valAx>
      <c:catAx>
        <c:axId val="334491808"/>
        <c:scaling>
          <c:orientation val="minMax"/>
        </c:scaling>
        <c:delete val="1"/>
        <c:axPos val="b"/>
        <c:numFmt formatCode="General" sourceLinked="1"/>
        <c:majorTickMark val="none"/>
        <c:minorTickMark val="none"/>
        <c:tickLblPos val="nextTo"/>
        <c:crossAx val="325106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and debt</a:t>
            </a:r>
            <a:r>
              <a:rPr lang="en-US" baseline="0"/>
              <a:t> evolution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Summary!$B$10</c:f>
              <c:strCache>
                <c:ptCount val="1"/>
                <c:pt idx="0">
                  <c:v>Cash</c:v>
                </c:pt>
              </c:strCache>
            </c:strRef>
          </c:tx>
          <c:spPr>
            <a:ln w="28575" cap="rnd">
              <a:solidFill>
                <a:schemeClr val="accent1"/>
              </a:solidFill>
              <a:round/>
            </a:ln>
            <a:effectLst/>
          </c:spPr>
          <c:marker>
            <c:symbol val="none"/>
          </c:marker>
          <c:cat>
            <c:numRef>
              <c:f>Summary!$C$3:$J$3</c:f>
              <c:numCache>
                <c:formatCode>General</c:formatCode>
                <c:ptCount val="8"/>
                <c:pt idx="0">
                  <c:v>2023</c:v>
                </c:pt>
                <c:pt idx="1">
                  <c:v>2024</c:v>
                </c:pt>
                <c:pt idx="2">
                  <c:v>2025</c:v>
                </c:pt>
                <c:pt idx="3">
                  <c:v>2026</c:v>
                </c:pt>
                <c:pt idx="4">
                  <c:v>2027</c:v>
                </c:pt>
                <c:pt idx="5">
                  <c:v>2028</c:v>
                </c:pt>
                <c:pt idx="6">
                  <c:v>2029</c:v>
                </c:pt>
                <c:pt idx="7">
                  <c:v>2030</c:v>
                </c:pt>
              </c:numCache>
            </c:numRef>
          </c:cat>
          <c:val>
            <c:numRef>
              <c:f>Summary!$C$10:$J$10</c:f>
              <c:numCache>
                <c:formatCode>#,##0</c:formatCode>
                <c:ptCount val="8"/>
                <c:pt idx="0">
                  <c:v>1121981</c:v>
                </c:pt>
                <c:pt idx="1">
                  <c:v>1742214</c:v>
                </c:pt>
                <c:pt idx="2">
                  <c:v>1467711</c:v>
                </c:pt>
                <c:pt idx="3">
                  <c:v>1613413.4474058533</c:v>
                </c:pt>
                <c:pt idx="4">
                  <c:v>1828277.9815494218</c:v>
                </c:pt>
                <c:pt idx="5">
                  <c:v>2128381.4733379837</c:v>
                </c:pt>
                <c:pt idx="6">
                  <c:v>2519838.2147238189</c:v>
                </c:pt>
                <c:pt idx="7">
                  <c:v>3008420.4742368311</c:v>
                </c:pt>
              </c:numCache>
            </c:numRef>
          </c:val>
          <c:smooth val="0"/>
          <c:extLst>
            <c:ext xmlns:c16="http://schemas.microsoft.com/office/drawing/2014/chart" uri="{C3380CC4-5D6E-409C-BE32-E72D297353CC}">
              <c16:uniqueId val="{00000000-D307-4151-8918-94371D5303DD}"/>
            </c:ext>
          </c:extLst>
        </c:ser>
        <c:ser>
          <c:idx val="1"/>
          <c:order val="1"/>
          <c:tx>
            <c:strRef>
              <c:f>Summary!$B$11</c:f>
              <c:strCache>
                <c:ptCount val="1"/>
                <c:pt idx="0">
                  <c:v>Debt</c:v>
                </c:pt>
              </c:strCache>
            </c:strRef>
          </c:tx>
          <c:spPr>
            <a:ln w="28575" cap="rnd">
              <a:solidFill>
                <a:schemeClr val="accent2"/>
              </a:solidFill>
              <a:round/>
            </a:ln>
            <a:effectLst/>
          </c:spPr>
          <c:marker>
            <c:symbol val="none"/>
          </c:marker>
          <c:cat>
            <c:numRef>
              <c:f>Summary!$C$3:$J$3</c:f>
              <c:numCache>
                <c:formatCode>General</c:formatCode>
                <c:ptCount val="8"/>
                <c:pt idx="0">
                  <c:v>2023</c:v>
                </c:pt>
                <c:pt idx="1">
                  <c:v>2024</c:v>
                </c:pt>
                <c:pt idx="2">
                  <c:v>2025</c:v>
                </c:pt>
                <c:pt idx="3">
                  <c:v>2026</c:v>
                </c:pt>
                <c:pt idx="4">
                  <c:v>2027</c:v>
                </c:pt>
                <c:pt idx="5">
                  <c:v>2028</c:v>
                </c:pt>
                <c:pt idx="6">
                  <c:v>2029</c:v>
                </c:pt>
                <c:pt idx="7">
                  <c:v>2030</c:v>
                </c:pt>
              </c:numCache>
            </c:numRef>
          </c:cat>
          <c:val>
            <c:numRef>
              <c:f>Summary!$C$11:$J$11</c:f>
              <c:numCache>
                <c:formatCode>#,##0</c:formatCode>
                <c:ptCount val="8"/>
                <c:pt idx="0">
                  <c:v>2477186</c:v>
                </c:pt>
                <c:pt idx="1">
                  <c:v>3351888</c:v>
                </c:pt>
                <c:pt idx="2">
                  <c:v>2884220</c:v>
                </c:pt>
                <c:pt idx="3">
                  <c:v>2884220</c:v>
                </c:pt>
                <c:pt idx="4">
                  <c:v>2884220</c:v>
                </c:pt>
                <c:pt idx="5">
                  <c:v>2884220</c:v>
                </c:pt>
                <c:pt idx="6">
                  <c:v>2884220</c:v>
                </c:pt>
                <c:pt idx="7">
                  <c:v>2884220</c:v>
                </c:pt>
              </c:numCache>
            </c:numRef>
          </c:val>
          <c:smooth val="0"/>
          <c:extLst>
            <c:ext xmlns:c16="http://schemas.microsoft.com/office/drawing/2014/chart" uri="{C3380CC4-5D6E-409C-BE32-E72D297353CC}">
              <c16:uniqueId val="{00000001-D307-4151-8918-94371D5303DD}"/>
            </c:ext>
          </c:extLst>
        </c:ser>
        <c:dLbls>
          <c:showLegendKey val="0"/>
          <c:showVal val="0"/>
          <c:showCatName val="0"/>
          <c:showSerName val="0"/>
          <c:showPercent val="0"/>
          <c:showBubbleSize val="0"/>
        </c:dLbls>
        <c:smooth val="0"/>
        <c:axId val="435929904"/>
        <c:axId val="325151440"/>
      </c:lineChart>
      <c:catAx>
        <c:axId val="43592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151440"/>
        <c:crosses val="autoZero"/>
        <c:auto val="1"/>
        <c:lblAlgn val="ctr"/>
        <c:lblOffset val="100"/>
        <c:noMultiLvlLbl val="0"/>
      </c:catAx>
      <c:valAx>
        <c:axId val="32515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2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199148</xdr:colOff>
      <xdr:row>24</xdr:row>
      <xdr:rowOff>14823</xdr:rowOff>
    </xdr:from>
    <xdr:to>
      <xdr:col>10</xdr:col>
      <xdr:colOff>3</xdr:colOff>
      <xdr:row>38</xdr:row>
      <xdr:rowOff>97971</xdr:rowOff>
    </xdr:to>
    <xdr:graphicFrame macro="">
      <xdr:nvGraphicFramePr>
        <xdr:cNvPr id="3" name="Chart 2">
          <a:extLst>
            <a:ext uri="{FF2B5EF4-FFF2-40B4-BE49-F238E27FC236}">
              <a16:creationId xmlns:a16="http://schemas.microsoft.com/office/drawing/2014/main" id="{BD67BA6E-FA33-34E8-7577-1BA1B3850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24</xdr:row>
      <xdr:rowOff>10887</xdr:rowOff>
    </xdr:from>
    <xdr:to>
      <xdr:col>4</xdr:col>
      <xdr:colOff>43544</xdr:colOff>
      <xdr:row>38</xdr:row>
      <xdr:rowOff>97971</xdr:rowOff>
    </xdr:to>
    <xdr:graphicFrame macro="">
      <xdr:nvGraphicFramePr>
        <xdr:cNvPr id="4" name="Chart 3">
          <a:extLst>
            <a:ext uri="{FF2B5EF4-FFF2-40B4-BE49-F238E27FC236}">
              <a16:creationId xmlns:a16="http://schemas.microsoft.com/office/drawing/2014/main" id="{7CA9E01C-D008-B5EF-5E6A-9162A0711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E8B0-7492-42DB-A18E-41653B01CE47}">
  <sheetPr>
    <tabColor theme="6" tint="0.79998168889431442"/>
  </sheetPr>
  <dimension ref="B1:J23"/>
  <sheetViews>
    <sheetView showGridLines="0" tabSelected="1" zoomScale="70" zoomScaleNormal="70" workbookViewId="0">
      <selection activeCell="N17" sqref="M17:N17"/>
    </sheetView>
  </sheetViews>
  <sheetFormatPr defaultRowHeight="12" x14ac:dyDescent="0.25"/>
  <cols>
    <col min="1" max="1" width="8.88671875" style="3" customWidth="1"/>
    <col min="2" max="2" width="33.44140625" style="3" customWidth="1"/>
    <col min="3" max="10" width="12.33203125" style="3" customWidth="1"/>
    <col min="11" max="16384" width="8.88671875" style="3"/>
  </cols>
  <sheetData>
    <row r="1" spans="2:10" ht="12.6" thickBot="1" x14ac:dyDescent="0.3"/>
    <row r="2" spans="2:10" ht="12.6" thickBot="1" x14ac:dyDescent="0.3">
      <c r="B2" s="3" t="s">
        <v>258</v>
      </c>
      <c r="C2" s="538" t="s">
        <v>256</v>
      </c>
      <c r="D2" s="539"/>
      <c r="E2" s="540"/>
      <c r="F2" s="538" t="s">
        <v>257</v>
      </c>
      <c r="G2" s="539"/>
      <c r="H2" s="539"/>
      <c r="I2" s="539"/>
      <c r="J2" s="540"/>
    </row>
    <row r="3" spans="2:10" ht="12.6" thickBot="1" x14ac:dyDescent="0.3">
      <c r="C3" s="156">
        <v>2023</v>
      </c>
      <c r="D3" s="157">
        <v>2024</v>
      </c>
      <c r="E3" s="161">
        <v>2025</v>
      </c>
      <c r="F3" s="156">
        <v>2026</v>
      </c>
      <c r="G3" s="157">
        <v>2027</v>
      </c>
      <c r="H3" s="157">
        <v>2028</v>
      </c>
      <c r="I3" s="157">
        <v>2029</v>
      </c>
      <c r="J3" s="161">
        <v>2030</v>
      </c>
    </row>
    <row r="4" spans="2:10" x14ac:dyDescent="0.25">
      <c r="B4" s="159" t="s">
        <v>166</v>
      </c>
      <c r="C4" s="502">
        <f>'Income Statement'!C5</f>
        <v>5970146</v>
      </c>
      <c r="D4" s="503">
        <f>'Income Statement'!D5</f>
        <v>6676668</v>
      </c>
      <c r="E4" s="504">
        <f>'Income Statement'!E5</f>
        <v>7145768</v>
      </c>
      <c r="F4" s="488">
        <f>'Income Statement'!F5</f>
        <v>7600000</v>
      </c>
      <c r="G4" s="489">
        <f>'Income Statement'!G5</f>
        <v>7928131.0729283113</v>
      </c>
      <c r="H4" s="489">
        <f>'Income Statement'!H5</f>
        <v>8270429.2512541339</v>
      </c>
      <c r="I4" s="489">
        <f>'Income Statement'!I5</f>
        <v>8627506.2017530426</v>
      </c>
      <c r="J4" s="490">
        <f>'Income Statement'!J5</f>
        <v>9000000</v>
      </c>
    </row>
    <row r="5" spans="2:10" x14ac:dyDescent="0.25">
      <c r="B5" s="512" t="s">
        <v>250</v>
      </c>
      <c r="C5" s="505">
        <f>Assumptions!C5</f>
        <v>0.17170723971758817</v>
      </c>
      <c r="D5" s="480">
        <f>Assumptions!D5</f>
        <v>0.11834249949666223</v>
      </c>
      <c r="E5" s="506">
        <f>Assumptions!E5</f>
        <v>7.0259596553250814E-2</v>
      </c>
      <c r="F5" s="491">
        <f>Assumptions!F5</f>
        <v>6.3566575349213686E-2</v>
      </c>
      <c r="G5" s="477">
        <f>Assumptions!G5</f>
        <v>4.3175141174777831E-2</v>
      </c>
      <c r="H5" s="477">
        <f>Assumptions!H5</f>
        <v>4.3175141174777831E-2</v>
      </c>
      <c r="I5" s="477">
        <f>Assumptions!I5</f>
        <v>4.3175141174777831E-2</v>
      </c>
      <c r="J5" s="492">
        <f>Assumptions!J5</f>
        <v>4.3175141174777831E-2</v>
      </c>
    </row>
    <row r="6" spans="2:10" x14ac:dyDescent="0.25">
      <c r="B6" s="512" t="s">
        <v>248</v>
      </c>
      <c r="C6" s="207">
        <f>'Income Statement'!C11</f>
        <v>1617369</v>
      </c>
      <c r="D6" s="310">
        <f>'Income Statement'!D11</f>
        <v>1887751</v>
      </c>
      <c r="E6" s="384">
        <f>'Income Statement'!E11</f>
        <v>2109716</v>
      </c>
      <c r="F6" s="493">
        <f>'Income Statement'!F11</f>
        <v>2254605.5896655247</v>
      </c>
      <c r="G6" s="476">
        <f>'Income Statement'!G11</f>
        <v>2351405.7064179275</v>
      </c>
      <c r="H6" s="476">
        <f>'Income Statement'!H11</f>
        <v>2452385.1818768512</v>
      </c>
      <c r="I6" s="476">
        <f>'Income Statement'!I11</f>
        <v>2557724.4604444681</v>
      </c>
      <c r="J6" s="494">
        <f>'Income Statement'!J11</f>
        <v>2667611.7772354903</v>
      </c>
    </row>
    <row r="7" spans="2:10" x14ac:dyDescent="0.25">
      <c r="B7" s="512" t="s">
        <v>251</v>
      </c>
      <c r="C7" s="204">
        <f>C6/C4</f>
        <v>0.27090945514565307</v>
      </c>
      <c r="D7" s="205">
        <f t="shared" ref="D7:J7" si="0">D6/D4</f>
        <v>0.28273848572371729</v>
      </c>
      <c r="E7" s="206">
        <f t="shared" si="0"/>
        <v>0.29523992382624231</v>
      </c>
      <c r="F7" s="495">
        <f t="shared" si="0"/>
        <v>0.29665863021914796</v>
      </c>
      <c r="G7" s="478">
        <f t="shared" si="0"/>
        <v>0.29659016542336492</v>
      </c>
      <c r="H7" s="478">
        <f t="shared" si="0"/>
        <v>0.29652453426222947</v>
      </c>
      <c r="I7" s="478">
        <f t="shared" si="0"/>
        <v>0.29646161945670446</v>
      </c>
      <c r="J7" s="496">
        <f t="shared" si="0"/>
        <v>0.29640130858172115</v>
      </c>
    </row>
    <row r="8" spans="2:10" x14ac:dyDescent="0.25">
      <c r="B8" s="512" t="s">
        <v>249</v>
      </c>
      <c r="C8" s="207">
        <f>'Income Statement'!C19</f>
        <v>1252048</v>
      </c>
      <c r="D8" s="310">
        <f>'Income Statement'!D19</f>
        <v>1521877</v>
      </c>
      <c r="E8" s="384">
        <f>'Income Statement'!E19</f>
        <v>1596919</v>
      </c>
      <c r="F8" s="493">
        <f>'Income Statement'!F19</f>
        <v>1708524.4576073738</v>
      </c>
      <c r="G8" s="476">
        <f>'Income Statement'!G19</f>
        <v>1792367.2503608379</v>
      </c>
      <c r="H8" s="476">
        <f>'Income Statement'!H19</f>
        <v>1880968.1540056407</v>
      </c>
      <c r="I8" s="476">
        <f>'Income Statement'!I19</f>
        <v>1976279.0854713535</v>
      </c>
      <c r="J8" s="494">
        <f>'Income Statement'!J19</f>
        <v>2078682.1859212324</v>
      </c>
    </row>
    <row r="9" spans="2:10" x14ac:dyDescent="0.25">
      <c r="B9" s="512" t="s">
        <v>252</v>
      </c>
      <c r="C9" s="507">
        <f>'Income Statement'!C23</f>
        <v>6.8979180325159355</v>
      </c>
      <c r="D9" s="481">
        <f>'Income Statement'!D23</f>
        <v>8.4552480110227126</v>
      </c>
      <c r="E9" s="508">
        <f>'Income Statement'!E23</f>
        <v>8.9553053201810222</v>
      </c>
      <c r="F9" s="497">
        <f>'Income Statement'!F23</f>
        <v>9.668107747927424</v>
      </c>
      <c r="G9" s="479">
        <f>'Income Statement'!G23</f>
        <v>10.234579763216686</v>
      </c>
      <c r="H9" s="479">
        <f>'Income Statement'!H23</f>
        <v>10.837950206148006</v>
      </c>
      <c r="I9" s="479">
        <f>'Income Statement'!I23</f>
        <v>11.49043940448693</v>
      </c>
      <c r="J9" s="498">
        <f>'Income Statement'!J23</f>
        <v>12.195484807827489</v>
      </c>
    </row>
    <row r="10" spans="2:10" x14ac:dyDescent="0.25">
      <c r="B10" s="512" t="s">
        <v>253</v>
      </c>
      <c r="C10" s="207">
        <f>'Balance Sheet'!C18</f>
        <v>1121981</v>
      </c>
      <c r="D10" s="310">
        <f>'Balance Sheet'!D18</f>
        <v>1742214</v>
      </c>
      <c r="E10" s="384">
        <f>'Balance Sheet'!E18</f>
        <v>1467711</v>
      </c>
      <c r="F10" s="493">
        <f>'Balance Sheet'!F18</f>
        <v>1613413.4474058533</v>
      </c>
      <c r="G10" s="476">
        <f>'Balance Sheet'!G18</f>
        <v>1828277.9815494218</v>
      </c>
      <c r="H10" s="476">
        <f>'Balance Sheet'!H18</f>
        <v>2128381.4733379837</v>
      </c>
      <c r="I10" s="476">
        <f>'Balance Sheet'!I18</f>
        <v>2519838.2147238189</v>
      </c>
      <c r="J10" s="494">
        <f>'Balance Sheet'!J18</f>
        <v>3008420.4742368311</v>
      </c>
    </row>
    <row r="11" spans="2:10" x14ac:dyDescent="0.25">
      <c r="B11" s="512" t="s">
        <v>30</v>
      </c>
      <c r="C11" s="207">
        <f>'Balance Sheet'!C30</f>
        <v>2477186</v>
      </c>
      <c r="D11" s="310">
        <f>'Balance Sheet'!D30</f>
        <v>3351888</v>
      </c>
      <c r="E11" s="384">
        <f>'Balance Sheet'!E30</f>
        <v>2884220</v>
      </c>
      <c r="F11" s="493">
        <f>'Balance Sheet'!F30</f>
        <v>2884220</v>
      </c>
      <c r="G11" s="476">
        <f>'Balance Sheet'!G30</f>
        <v>2884220</v>
      </c>
      <c r="H11" s="476">
        <f>'Balance Sheet'!H30</f>
        <v>2884220</v>
      </c>
      <c r="I11" s="476">
        <f>'Balance Sheet'!I30</f>
        <v>2884220</v>
      </c>
      <c r="J11" s="494">
        <f>'Balance Sheet'!J30</f>
        <v>2884220</v>
      </c>
    </row>
    <row r="12" spans="2:10" x14ac:dyDescent="0.25">
      <c r="B12" s="512" t="s">
        <v>254</v>
      </c>
      <c r="C12" s="207">
        <f>C11-C10</f>
        <v>1355205</v>
      </c>
      <c r="D12" s="310">
        <f t="shared" ref="D12:J12" si="1">D11-D10</f>
        <v>1609674</v>
      </c>
      <c r="E12" s="384">
        <f t="shared" si="1"/>
        <v>1416509</v>
      </c>
      <c r="F12" s="493">
        <f t="shared" si="1"/>
        <v>1270806.5525941467</v>
      </c>
      <c r="G12" s="476">
        <f t="shared" si="1"/>
        <v>1055942.0184505782</v>
      </c>
      <c r="H12" s="476">
        <f t="shared" si="1"/>
        <v>755838.52666201629</v>
      </c>
      <c r="I12" s="476">
        <f t="shared" si="1"/>
        <v>364381.78527618106</v>
      </c>
      <c r="J12" s="494">
        <f t="shared" si="1"/>
        <v>-124200.47423683107</v>
      </c>
    </row>
    <row r="13" spans="2:10" ht="12.6" thickBot="1" x14ac:dyDescent="0.3">
      <c r="B13" s="160" t="s">
        <v>255</v>
      </c>
      <c r="C13" s="509">
        <f>'Cash Flow Statement'!C29+'Cash Flow Statement'!C22</f>
        <v>850185</v>
      </c>
      <c r="D13" s="510">
        <f>'Cash Flow Statement'!D29+'Cash Flow Statement'!D22</f>
        <v>939546</v>
      </c>
      <c r="E13" s="511">
        <f>'Cash Flow Statement'!E29+'Cash Flow Statement'!E22</f>
        <v>1405167</v>
      </c>
      <c r="F13" s="499">
        <f>'Cash Flow Statement'!F29+'Cash Flow Statement'!F22</f>
        <v>1484470.0474058534</v>
      </c>
      <c r="G13" s="500">
        <f>'Cash Flow Statement'!G29+'Cash Flow Statement'!G22</f>
        <v>1598274.3171865181</v>
      </c>
      <c r="H13" s="500">
        <f>'Cash Flow Statement'!H29+'Cash Flow Statement'!H22</f>
        <v>1717050.3919328973</v>
      </c>
      <c r="I13" s="500">
        <f>'Cash Flow Statement'!I29+'Cash Flow Statement'!I22</f>
        <v>1843844.0029880917</v>
      </c>
      <c r="J13" s="501">
        <f>'Cash Flow Statement'!J29+'Cash Flow Statement'!J22</f>
        <v>1979093.8937015533</v>
      </c>
    </row>
    <row r="14" spans="2:10" ht="12.6" thickBot="1" x14ac:dyDescent="0.3"/>
    <row r="15" spans="2:10" ht="12.6" thickBot="1" x14ac:dyDescent="0.3">
      <c r="B15" s="537" t="s">
        <v>259</v>
      </c>
      <c r="C15" s="536" t="str">
        <f>IF(SUMPRODUCT(ABS('Balance Sheet'!C39:J39))&lt;1,"OK","Error")</f>
        <v>OK</v>
      </c>
    </row>
    <row r="17" spans="2:10" ht="12.6" thickBot="1" x14ac:dyDescent="0.3">
      <c r="B17" s="3" t="s">
        <v>260</v>
      </c>
    </row>
    <row r="18" spans="2:10" x14ac:dyDescent="0.25">
      <c r="B18" s="159" t="s">
        <v>261</v>
      </c>
      <c r="C18" s="513">
        <f>Assumptions!C7</f>
        <v>0.50180967098627072</v>
      </c>
      <c r="D18" s="514">
        <f>Assumptions!D7</f>
        <v>0.49867433875699674</v>
      </c>
      <c r="E18" s="515">
        <f>Assumptions!E7</f>
        <v>0.483219018585546</v>
      </c>
      <c r="F18" s="524">
        <f>Assumptions!F7</f>
        <v>0.483219018585546</v>
      </c>
      <c r="G18" s="525">
        <f>Assumptions!G7</f>
        <v>0.483219018585546</v>
      </c>
      <c r="H18" s="525">
        <f>Assumptions!H7</f>
        <v>0.483219018585546</v>
      </c>
      <c r="I18" s="525">
        <f>Assumptions!I7</f>
        <v>0.483219018585546</v>
      </c>
      <c r="J18" s="526">
        <f>Assumptions!J7</f>
        <v>0.483219018585546</v>
      </c>
    </row>
    <row r="19" spans="2:10" x14ac:dyDescent="0.25">
      <c r="B19" s="512" t="s">
        <v>262</v>
      </c>
      <c r="C19" s="516">
        <f>Assumptions!C33</f>
        <v>0.14554250432066484</v>
      </c>
      <c r="D19" s="482">
        <f>Assumptions!D33</f>
        <v>0.14815039477775441</v>
      </c>
      <c r="E19" s="517">
        <f>Assumptions!E33</f>
        <v>0.13199225051806887</v>
      </c>
      <c r="F19" s="527">
        <f>Assumptions!F33</f>
        <v>0.11578947368421053</v>
      </c>
      <c r="G19" s="485">
        <f>Assumptions!G33</f>
        <v>0.11099715581202743</v>
      </c>
      <c r="H19" s="485">
        <f>Assumptions!H33</f>
        <v>0.10640318334946837</v>
      </c>
      <c r="I19" s="485">
        <f>Assumptions!I33</f>
        <v>0.10199934713708937</v>
      </c>
      <c r="J19" s="528">
        <f>Assumptions!J33</f>
        <v>9.7777777777777783E-2</v>
      </c>
    </row>
    <row r="20" spans="2:10" x14ac:dyDescent="0.25">
      <c r="B20" s="512" t="s">
        <v>263</v>
      </c>
      <c r="C20" s="518">
        <f>Assumptions!C22</f>
        <v>115.56135649093737</v>
      </c>
      <c r="D20" s="483">
        <f>Assumptions!D22</f>
        <v>119.29504070151431</v>
      </c>
      <c r="E20" s="519">
        <f>Assumptions!E22</f>
        <v>117.74641605736046</v>
      </c>
      <c r="F20" s="529">
        <f>Assumptions!F22</f>
        <v>117.53427108327071</v>
      </c>
      <c r="G20" s="486">
        <f>Assumptions!G22</f>
        <v>117.53427108327071</v>
      </c>
      <c r="H20" s="486">
        <f>Assumptions!H22</f>
        <v>117.53427108327071</v>
      </c>
      <c r="I20" s="486">
        <f>Assumptions!I22</f>
        <v>117.53427108327071</v>
      </c>
      <c r="J20" s="530">
        <f>Assumptions!J22</f>
        <v>117.53427108327071</v>
      </c>
    </row>
    <row r="21" spans="2:10" x14ac:dyDescent="0.25">
      <c r="B21" s="512" t="s">
        <v>264</v>
      </c>
      <c r="C21" s="516">
        <f>Assumptions!C12</f>
        <v>0.21524394734247237</v>
      </c>
      <c r="D21" s="482">
        <f>Assumptions!D12</f>
        <v>0.19219240681095801</v>
      </c>
      <c r="E21" s="517">
        <f>Assumptions!E12</f>
        <v>0.22490362879094414</v>
      </c>
      <c r="F21" s="527">
        <f>Assumptions!F12</f>
        <v>0.23</v>
      </c>
      <c r="G21" s="485">
        <f>Assumptions!G12</f>
        <v>0.23</v>
      </c>
      <c r="H21" s="485">
        <f>Assumptions!H12</f>
        <v>0.23</v>
      </c>
      <c r="I21" s="485">
        <f>Assumptions!I12</f>
        <v>0.23</v>
      </c>
      <c r="J21" s="528">
        <f>Assumptions!J12</f>
        <v>0.23</v>
      </c>
    </row>
    <row r="22" spans="2:10" x14ac:dyDescent="0.25">
      <c r="B22" s="512" t="s">
        <v>265</v>
      </c>
      <c r="C22" s="520"/>
      <c r="D22" s="484">
        <f>Assumptions!D57</f>
        <v>0.3513587338504594</v>
      </c>
      <c r="E22" s="521">
        <f>Assumptions!E57</f>
        <v>0.34806163704425525</v>
      </c>
      <c r="F22" s="531">
        <f>Assumptions!F57</f>
        <v>0.4</v>
      </c>
      <c r="G22" s="487">
        <f>Assumptions!G57</f>
        <v>0.4</v>
      </c>
      <c r="H22" s="487">
        <f>Assumptions!H57</f>
        <v>0.4</v>
      </c>
      <c r="I22" s="487">
        <f>Assumptions!I57</f>
        <v>0.4</v>
      </c>
      <c r="J22" s="532">
        <f>Assumptions!J57</f>
        <v>0.4</v>
      </c>
    </row>
    <row r="23" spans="2:10" ht="12.6" thickBot="1" x14ac:dyDescent="0.3">
      <c r="B23" s="160" t="s">
        <v>266</v>
      </c>
      <c r="C23" s="163">
        <f>Assumptions!C58</f>
        <v>460629</v>
      </c>
      <c r="D23" s="522">
        <f>Assumptions!D58</f>
        <v>581084</v>
      </c>
      <c r="E23" s="523">
        <f>Assumptions!E58</f>
        <v>785329</v>
      </c>
      <c r="F23" s="533">
        <f>Assumptions!F58</f>
        <v>700000</v>
      </c>
      <c r="G23" s="534">
        <f>Assumptions!G58</f>
        <v>700000</v>
      </c>
      <c r="H23" s="534">
        <f>Assumptions!H58</f>
        <v>700000</v>
      </c>
      <c r="I23" s="534">
        <f>Assumptions!I58</f>
        <v>700000</v>
      </c>
      <c r="J23" s="535">
        <f>Assumptions!J58</f>
        <v>700000</v>
      </c>
    </row>
  </sheetData>
  <mergeCells count="2">
    <mergeCell ref="C2:E2"/>
    <mergeCell ref="F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EFCA-EAF2-41A7-AADB-29ED74B953B3}">
  <sheetPr>
    <tabColor theme="9" tint="0.79998168889431442"/>
  </sheetPr>
  <dimension ref="A2:L77"/>
  <sheetViews>
    <sheetView showGridLines="0" topLeftCell="A24" zoomScale="85" zoomScaleNormal="85" workbookViewId="0">
      <selection activeCell="B19" sqref="B19"/>
    </sheetView>
  </sheetViews>
  <sheetFormatPr defaultRowHeight="12" x14ac:dyDescent="0.25"/>
  <cols>
    <col min="1" max="1" width="51.77734375" style="50" customWidth="1"/>
    <col min="2" max="2" width="10.21875" style="50" bestFit="1" customWidth="1"/>
    <col min="3" max="10" width="9.6640625" style="50" customWidth="1"/>
    <col min="11" max="11" width="148.109375" style="50" customWidth="1"/>
    <col min="12" max="12" width="69.21875" style="50" customWidth="1"/>
    <col min="13" max="16384" width="8.88671875" style="50"/>
  </cols>
  <sheetData>
    <row r="2" spans="1:12" ht="12.6" thickBot="1" x14ac:dyDescent="0.3">
      <c r="G2" s="249"/>
      <c r="H2" s="247"/>
      <c r="I2" s="248"/>
      <c r="K2" s="247"/>
    </row>
    <row r="3" spans="1:12" ht="15" customHeight="1" thickBot="1" x14ac:dyDescent="0.3">
      <c r="A3" s="201" t="s">
        <v>148</v>
      </c>
      <c r="B3" s="229">
        <v>2022</v>
      </c>
      <c r="C3" s="166">
        <v>2023</v>
      </c>
      <c r="D3" s="166">
        <v>2024</v>
      </c>
      <c r="E3" s="40">
        <v>2025</v>
      </c>
      <c r="F3" s="229">
        <v>2026</v>
      </c>
      <c r="G3" s="157">
        <v>2027</v>
      </c>
      <c r="H3" s="157">
        <v>2028</v>
      </c>
      <c r="I3" s="157">
        <v>2029</v>
      </c>
      <c r="J3" s="161">
        <v>2030</v>
      </c>
      <c r="K3" s="289" t="s">
        <v>149</v>
      </c>
    </row>
    <row r="4" spans="1:12" ht="15" customHeight="1" thickBot="1" x14ac:dyDescent="0.3">
      <c r="A4" s="223" t="s">
        <v>166</v>
      </c>
      <c r="B4" s="225">
        <v>5095254</v>
      </c>
      <c r="C4" s="203">
        <f>'Income Statement'!C5</f>
        <v>5970146</v>
      </c>
      <c r="D4" s="208">
        <f>'Income Statement'!D5</f>
        <v>6676668</v>
      </c>
      <c r="E4" s="209">
        <f>'Income Statement'!E5</f>
        <v>7145768</v>
      </c>
      <c r="F4" s="256">
        <v>7600000</v>
      </c>
      <c r="G4" s="257">
        <f>F4*(1+G5)</f>
        <v>7928131.0729283113</v>
      </c>
      <c r="H4" s="257">
        <f>G4*(1+H5)</f>
        <v>8270429.2512541339</v>
      </c>
      <c r="I4" s="257">
        <f t="shared" ref="I4" si="0">H4*(1+I5)</f>
        <v>8627506.2017530426</v>
      </c>
      <c r="J4" s="266">
        <v>9000000</v>
      </c>
      <c r="K4" s="541" t="s">
        <v>183</v>
      </c>
    </row>
    <row r="5" spans="1:12" ht="15" customHeight="1" x14ac:dyDescent="0.25">
      <c r="A5" s="202" t="s">
        <v>150</v>
      </c>
      <c r="B5" s="545"/>
      <c r="C5" s="204">
        <f>(C4-B4)/B4</f>
        <v>0.17170723971758817</v>
      </c>
      <c r="D5" s="205">
        <f>(D4-C4)/C4</f>
        <v>0.11834249949666223</v>
      </c>
      <c r="E5" s="206">
        <f>(E4-D4)/D4</f>
        <v>7.0259596553250814E-2</v>
      </c>
      <c r="F5" s="258">
        <f>(F4-E4)/E4</f>
        <v>6.3566575349213686E-2</v>
      </c>
      <c r="G5" s="259">
        <f>(J4/F4)^(1/4) -1</f>
        <v>4.3175141174777831E-2</v>
      </c>
      <c r="H5" s="259">
        <f>G5</f>
        <v>4.3175141174777831E-2</v>
      </c>
      <c r="I5" s="259">
        <f>H5</f>
        <v>4.3175141174777831E-2</v>
      </c>
      <c r="J5" s="260">
        <f>I5</f>
        <v>4.3175141174777831E-2</v>
      </c>
      <c r="K5" s="542"/>
      <c r="L5" s="246"/>
    </row>
    <row r="6" spans="1:12" ht="15" customHeight="1" x14ac:dyDescent="0.25">
      <c r="A6" s="202" t="s">
        <v>167</v>
      </c>
      <c r="B6" s="546"/>
      <c r="C6" s="207">
        <f>'Income Statement'!C6</f>
        <v>2995877</v>
      </c>
      <c r="D6" s="310">
        <f>'Income Statement'!D6</f>
        <v>3329483</v>
      </c>
      <c r="E6" s="384">
        <f>'Income Statement'!E6</f>
        <v>3452971</v>
      </c>
      <c r="F6" s="385">
        <f>F4*F7</f>
        <v>3672464.5412501497</v>
      </c>
      <c r="G6" s="311">
        <f>G4*G7</f>
        <v>3831023.7162779905</v>
      </c>
      <c r="H6" s="311">
        <f>H4*H7</f>
        <v>3996428.7060722145</v>
      </c>
      <c r="I6" s="311">
        <f>I4*I7</f>
        <v>4168975.0796518167</v>
      </c>
      <c r="J6" s="386">
        <f>J4*J7</f>
        <v>4348971.1672699144</v>
      </c>
      <c r="K6" s="240" t="s">
        <v>185</v>
      </c>
    </row>
    <row r="7" spans="1:12" ht="15" customHeight="1" x14ac:dyDescent="0.25">
      <c r="A7" s="202" t="s">
        <v>151</v>
      </c>
      <c r="B7" s="546"/>
      <c r="C7" s="204">
        <f>'Income Statement'!C6/Assumptions!C4</f>
        <v>0.50180967098627072</v>
      </c>
      <c r="D7" s="205">
        <f>'Income Statement'!D6/Assumptions!D4</f>
        <v>0.49867433875699674</v>
      </c>
      <c r="E7" s="206">
        <f>'Income Statement'!E6/Assumptions!E4</f>
        <v>0.483219018585546</v>
      </c>
      <c r="F7" s="258">
        <f>E7</f>
        <v>0.483219018585546</v>
      </c>
      <c r="G7" s="264">
        <f t="shared" ref="G7:J7" si="1">F7</f>
        <v>0.483219018585546</v>
      </c>
      <c r="H7" s="264">
        <f t="shared" si="1"/>
        <v>0.483219018585546</v>
      </c>
      <c r="I7" s="264">
        <f t="shared" si="1"/>
        <v>0.483219018585546</v>
      </c>
      <c r="J7" s="267">
        <f t="shared" si="1"/>
        <v>0.483219018585546</v>
      </c>
      <c r="K7" s="240" t="s">
        <v>184</v>
      </c>
    </row>
    <row r="8" spans="1:12" ht="15" customHeight="1" x14ac:dyDescent="0.25">
      <c r="A8" s="202" t="s">
        <v>152</v>
      </c>
      <c r="B8" s="546"/>
      <c r="C8" s="204">
        <f>'Income Statement'!C7/Assumptions!C4</f>
        <v>7.7482192227794761E-2</v>
      </c>
      <c r="D8" s="205">
        <f>'Income Statement'!D7/Assumptions!D4</f>
        <v>8.4045514918519235E-2</v>
      </c>
      <c r="E8" s="206">
        <f>'Income Statement'!E7/Assumptions!E4</f>
        <v>8.9911959078436354E-2</v>
      </c>
      <c r="F8" s="261">
        <f>E8</f>
        <v>8.9911959078436354E-2</v>
      </c>
      <c r="G8" s="259">
        <f t="shared" ref="G8:J8" si="2">F8</f>
        <v>8.9911959078436354E-2</v>
      </c>
      <c r="H8" s="259">
        <f t="shared" si="2"/>
        <v>8.9911959078436354E-2</v>
      </c>
      <c r="I8" s="259">
        <f t="shared" si="2"/>
        <v>8.9911959078436354E-2</v>
      </c>
      <c r="J8" s="260">
        <f t="shared" si="2"/>
        <v>8.9911959078436354E-2</v>
      </c>
      <c r="K8" s="240" t="s">
        <v>186</v>
      </c>
    </row>
    <row r="9" spans="1:12" ht="15" customHeight="1" x14ac:dyDescent="0.25">
      <c r="A9" s="202" t="s">
        <v>153</v>
      </c>
      <c r="B9" s="546"/>
      <c r="C9" s="204">
        <f>'Income Statement'!C8/Assumptions!C4</f>
        <v>0.14766121297536108</v>
      </c>
      <c r="D9" s="205">
        <f>'Income Statement'!D8/Assumptions!D4</f>
        <v>0.1339129038616268</v>
      </c>
      <c r="E9" s="206">
        <f>'Income Statement'!E8/Assumptions!E4</f>
        <v>0.12858813776209918</v>
      </c>
      <c r="F9" s="261">
        <f>E9</f>
        <v>0.12858813776209918</v>
      </c>
      <c r="G9" s="259">
        <f t="shared" ref="G9:J9" si="3">F9</f>
        <v>0.12858813776209918</v>
      </c>
      <c r="H9" s="259">
        <f t="shared" si="3"/>
        <v>0.12858813776209918</v>
      </c>
      <c r="I9" s="259">
        <f t="shared" si="3"/>
        <v>0.12858813776209918</v>
      </c>
      <c r="J9" s="260">
        <f t="shared" si="3"/>
        <v>0.12858813776209918</v>
      </c>
      <c r="K9" s="240" t="s">
        <v>187</v>
      </c>
    </row>
    <row r="10" spans="1:12" ht="15" customHeight="1" x14ac:dyDescent="0.25">
      <c r="A10" s="202" t="s">
        <v>154</v>
      </c>
      <c r="B10" s="546"/>
      <c r="C10" s="204">
        <f>'Income Statement'!C9/Assumptions!C4</f>
        <v>3.1654167251521153E-3</v>
      </c>
      <c r="D10" s="205">
        <f>'Income Statement'!D9/Assumptions!D4</f>
        <v>1.8636541460500956E-3</v>
      </c>
      <c r="E10" s="206">
        <f>'Income Statement'!E9/Assumptions!E4</f>
        <v>4.8003237720564114E-3</v>
      </c>
      <c r="F10" s="261">
        <f>AVERAGE($C10:$E10)</f>
        <v>3.2764648810862072E-3</v>
      </c>
      <c r="G10" s="259">
        <f t="shared" ref="G10:J10" si="4">AVERAGE($C10:$E10)</f>
        <v>3.2764648810862072E-3</v>
      </c>
      <c r="H10" s="259">
        <f t="shared" si="4"/>
        <v>3.2764648810862072E-3</v>
      </c>
      <c r="I10" s="259">
        <f t="shared" si="4"/>
        <v>3.2764648810862072E-3</v>
      </c>
      <c r="J10" s="260">
        <f t="shared" si="4"/>
        <v>3.2764648810862072E-3</v>
      </c>
      <c r="K10" s="240" t="s">
        <v>188</v>
      </c>
    </row>
    <row r="11" spans="1:12" ht="15" customHeight="1" x14ac:dyDescent="0.25">
      <c r="A11" s="202" t="s">
        <v>181</v>
      </c>
      <c r="B11" s="546"/>
      <c r="C11" s="204">
        <f>100%-(SUM(C7:C10))+C16/C4</f>
        <v>0.27090945514565307</v>
      </c>
      <c r="D11" s="205">
        <f t="shared" ref="D11:J11" si="5">100%-(SUM(D7:D10))+D16/D4</f>
        <v>0.28273848572371735</v>
      </c>
      <c r="E11" s="206">
        <f t="shared" si="5"/>
        <v>0.29523992382624231</v>
      </c>
      <c r="F11" s="258">
        <f t="shared" si="5"/>
        <v>0.29665863021914801</v>
      </c>
      <c r="G11" s="264">
        <f t="shared" si="5"/>
        <v>0.29659016542336492</v>
      </c>
      <c r="H11" s="264">
        <f t="shared" si="5"/>
        <v>0.29652453426222936</v>
      </c>
      <c r="I11" s="264">
        <f t="shared" si="5"/>
        <v>0.29646161945670435</v>
      </c>
      <c r="J11" s="267">
        <f t="shared" si="5"/>
        <v>0.29640130858172109</v>
      </c>
      <c r="K11" s="240"/>
    </row>
    <row r="12" spans="1:12" ht="15" customHeight="1" x14ac:dyDescent="0.25">
      <c r="A12" s="202" t="s">
        <v>155</v>
      </c>
      <c r="B12" s="546"/>
      <c r="C12" s="204">
        <f>'Income Statement'!C16/'Income Statement'!C15</f>
        <v>0.21524394734247237</v>
      </c>
      <c r="D12" s="205">
        <f>'Income Statement'!D16/'Income Statement'!D15</f>
        <v>0.19219240681095801</v>
      </c>
      <c r="E12" s="206">
        <f>'Income Statement'!E16/'Income Statement'!E15</f>
        <v>0.22490362879094414</v>
      </c>
      <c r="F12" s="262">
        <v>0.23</v>
      </c>
      <c r="G12" s="265">
        <v>0.23</v>
      </c>
      <c r="H12" s="265">
        <v>0.23</v>
      </c>
      <c r="I12" s="265">
        <v>0.23</v>
      </c>
      <c r="J12" s="268">
        <v>0.23</v>
      </c>
      <c r="K12" s="240" t="s">
        <v>189</v>
      </c>
    </row>
    <row r="13" spans="1:12" ht="15" customHeight="1" x14ac:dyDescent="0.25">
      <c r="A13" s="202" t="s">
        <v>156</v>
      </c>
      <c r="B13" s="546"/>
      <c r="C13" s="204">
        <f>'Income Statement'!C20/'Income Statement'!C17</f>
        <v>4.3015387404897343E-3</v>
      </c>
      <c r="D13" s="205">
        <f>'Income Statement'!D20/'Income Statement'!D17</f>
        <v>2.6449738615504292E-3</v>
      </c>
      <c r="E13" s="206">
        <f>'Income Statement'!E20/'Income Statement'!E17</f>
        <v>1.6236161438835247E-3</v>
      </c>
      <c r="F13" s="261">
        <f>E13</f>
        <v>1.6236161438835247E-3</v>
      </c>
      <c r="G13" s="259">
        <f t="shared" ref="G13:J13" si="6">F13</f>
        <v>1.6236161438835247E-3</v>
      </c>
      <c r="H13" s="259">
        <f t="shared" si="6"/>
        <v>1.6236161438835247E-3</v>
      </c>
      <c r="I13" s="259">
        <f t="shared" si="6"/>
        <v>1.6236161438835247E-3</v>
      </c>
      <c r="J13" s="260">
        <f t="shared" si="6"/>
        <v>1.6236161438835247E-3</v>
      </c>
      <c r="K13" s="240" t="s">
        <v>190</v>
      </c>
    </row>
    <row r="14" spans="1:12" ht="15" customHeight="1" x14ac:dyDescent="0.25">
      <c r="A14" s="224" t="s">
        <v>170</v>
      </c>
      <c r="B14" s="546"/>
      <c r="C14" s="548"/>
      <c r="D14" s="205">
        <f>'Income Statement'!D13/'Balance Sheet'!C30</f>
        <v>5.8895456376711314E-2</v>
      </c>
      <c r="E14" s="206">
        <f>'Income Statement'!E13/'Balance Sheet'!D30</f>
        <v>6.3912040020430272E-2</v>
      </c>
      <c r="F14" s="261">
        <f>E14</f>
        <v>6.3912040020430272E-2</v>
      </c>
      <c r="G14" s="259">
        <f t="shared" ref="G14:J14" si="7">F14</f>
        <v>6.3912040020430272E-2</v>
      </c>
      <c r="H14" s="259">
        <f t="shared" si="7"/>
        <v>6.3912040020430272E-2</v>
      </c>
      <c r="I14" s="259">
        <f t="shared" si="7"/>
        <v>6.3912040020430272E-2</v>
      </c>
      <c r="J14" s="260">
        <f t="shared" si="7"/>
        <v>6.3912040020430272E-2</v>
      </c>
      <c r="K14" s="240" t="s">
        <v>191</v>
      </c>
    </row>
    <row r="15" spans="1:12" ht="15" customHeight="1" x14ac:dyDescent="0.25">
      <c r="A15" s="202" t="s">
        <v>171</v>
      </c>
      <c r="B15" s="546"/>
      <c r="C15" s="549"/>
      <c r="D15" s="205">
        <f>'Income Statement'!D12/('Balance Sheet'!C14+'Balance Sheet'!C18)</f>
        <v>5.7167529620436364E-2</v>
      </c>
      <c r="E15" s="206">
        <f>'Income Statement'!E12/('Balance Sheet'!D14+'Balance Sheet'!D18)</f>
        <v>4.93985333061484E-2</v>
      </c>
      <c r="F15" s="261">
        <f>E15</f>
        <v>4.93985333061484E-2</v>
      </c>
      <c r="G15" s="259">
        <f t="shared" ref="G15:J15" si="8">F15</f>
        <v>4.93985333061484E-2</v>
      </c>
      <c r="H15" s="259">
        <f t="shared" si="8"/>
        <v>4.93985333061484E-2</v>
      </c>
      <c r="I15" s="259">
        <f t="shared" si="8"/>
        <v>4.93985333061484E-2</v>
      </c>
      <c r="J15" s="260">
        <f t="shared" si="8"/>
        <v>4.93985333061484E-2</v>
      </c>
      <c r="K15" s="240" t="s">
        <v>192</v>
      </c>
    </row>
    <row r="16" spans="1:12" ht="15" customHeight="1" thickBot="1" x14ac:dyDescent="0.3">
      <c r="A16" s="222" t="s">
        <v>41</v>
      </c>
      <c r="B16" s="547"/>
      <c r="C16" s="226">
        <f>'Income Statement'!C10</f>
        <v>6137</v>
      </c>
      <c r="D16" s="227">
        <f>'Income Statement'!D10</f>
        <v>8245</v>
      </c>
      <c r="E16" s="228">
        <f>'Income Statement'!E10</f>
        <v>12572</v>
      </c>
      <c r="F16" s="263">
        <f>E16</f>
        <v>12572</v>
      </c>
      <c r="G16" s="312">
        <f t="shared" ref="G16:J16" si="9">F16</f>
        <v>12572</v>
      </c>
      <c r="H16" s="312">
        <f t="shared" si="9"/>
        <v>12572</v>
      </c>
      <c r="I16" s="312">
        <f t="shared" si="9"/>
        <v>12572</v>
      </c>
      <c r="J16" s="313">
        <f t="shared" si="9"/>
        <v>12572</v>
      </c>
      <c r="K16" s="241" t="s">
        <v>201</v>
      </c>
    </row>
    <row r="17" spans="1:11" ht="15" customHeight="1" x14ac:dyDescent="0.25">
      <c r="K17" s="254"/>
    </row>
    <row r="18" spans="1:11" ht="15" customHeight="1" x14ac:dyDescent="0.25">
      <c r="K18" s="254"/>
    </row>
    <row r="19" spans="1:11" ht="15" customHeight="1" thickBot="1" x14ac:dyDescent="0.3">
      <c r="B19" s="43"/>
      <c r="C19" s="43"/>
      <c r="D19" s="43"/>
      <c r="E19" s="43"/>
      <c r="F19" s="43"/>
      <c r="G19" s="43"/>
      <c r="H19" s="43"/>
      <c r="I19" s="43"/>
      <c r="J19" s="43"/>
      <c r="K19" s="255"/>
    </row>
    <row r="20" spans="1:11" ht="15" customHeight="1" thickBot="1" x14ac:dyDescent="0.3">
      <c r="A20" s="309" t="s">
        <v>231</v>
      </c>
      <c r="B20" s="315"/>
      <c r="C20" s="316"/>
      <c r="D20" s="317"/>
      <c r="E20" s="317"/>
      <c r="F20" s="317"/>
      <c r="G20" s="317"/>
      <c r="H20" s="317"/>
      <c r="I20" s="317"/>
      <c r="J20" s="315"/>
      <c r="K20" s="289"/>
    </row>
    <row r="21" spans="1:11" ht="15" customHeight="1" x14ac:dyDescent="0.25">
      <c r="A21" s="211" t="s">
        <v>157</v>
      </c>
      <c r="B21" s="214"/>
      <c r="C21" s="216"/>
      <c r="D21" s="212"/>
      <c r="E21" s="286"/>
      <c r="F21" s="334"/>
      <c r="G21" s="335"/>
      <c r="H21" s="335"/>
      <c r="I21" s="335"/>
      <c r="J21" s="336"/>
      <c r="K21" s="242" t="s">
        <v>180</v>
      </c>
    </row>
    <row r="22" spans="1:11" ht="15" customHeight="1" x14ac:dyDescent="0.25">
      <c r="A22" s="213" t="s">
        <v>213</v>
      </c>
      <c r="B22" s="215"/>
      <c r="C22" s="220">
        <f>'Balance Sheet'!C12/Assumptions!C6*365</f>
        <v>115.56135649093737</v>
      </c>
      <c r="D22" s="314">
        <f>'Balance Sheet'!D12/Assumptions!D6*365</f>
        <v>119.29504070151431</v>
      </c>
      <c r="E22" s="318">
        <f>'Balance Sheet'!E12/Assumptions!E6*365</f>
        <v>117.74641605736046</v>
      </c>
      <c r="F22" s="337">
        <f>AVERAGE($C22:$E22)</f>
        <v>117.53427108327071</v>
      </c>
      <c r="G22" s="338">
        <f t="shared" ref="G22:J22" si="10">AVERAGE($C22:$E22)</f>
        <v>117.53427108327071</v>
      </c>
      <c r="H22" s="338">
        <f t="shared" si="10"/>
        <v>117.53427108327071</v>
      </c>
      <c r="I22" s="338">
        <f t="shared" si="10"/>
        <v>117.53427108327071</v>
      </c>
      <c r="J22" s="339">
        <f t="shared" si="10"/>
        <v>117.53427108327071</v>
      </c>
      <c r="K22" s="243" t="s">
        <v>193</v>
      </c>
    </row>
    <row r="23" spans="1:11" ht="15" customHeight="1" x14ac:dyDescent="0.25">
      <c r="A23" s="213" t="s">
        <v>209</v>
      </c>
      <c r="B23" s="235"/>
      <c r="C23" s="220">
        <f>C22*C6/365</f>
        <v>948514</v>
      </c>
      <c r="D23" s="314">
        <f t="shared" ref="D23:J23" si="11">D22*D6/365</f>
        <v>1088193.9999999998</v>
      </c>
      <c r="E23" s="318">
        <f t="shared" si="11"/>
        <v>1113904</v>
      </c>
      <c r="F23" s="337">
        <f t="shared" si="11"/>
        <v>1182576.5559862864</v>
      </c>
      <c r="G23" s="338">
        <f t="shared" si="11"/>
        <v>1233634.4657409769</v>
      </c>
      <c r="H23" s="338">
        <f t="shared" si="11"/>
        <v>1286896.807957415</v>
      </c>
      <c r="I23" s="338">
        <f t="shared" si="11"/>
        <v>1342458.7593183471</v>
      </c>
      <c r="J23" s="339">
        <f t="shared" si="11"/>
        <v>1400419.6057732338</v>
      </c>
      <c r="K23" s="243"/>
    </row>
    <row r="24" spans="1:11" ht="15" customHeight="1" x14ac:dyDescent="0.25">
      <c r="A24" s="213" t="s">
        <v>214</v>
      </c>
      <c r="B24" s="215"/>
      <c r="C24" s="220">
        <f>'Balance Sheet'!C13/Assumptions!C4*365</f>
        <v>15.980128459170011</v>
      </c>
      <c r="D24" s="314">
        <f>'Balance Sheet'!D13/Assumptions!D4*365</f>
        <v>19.088749058662195</v>
      </c>
      <c r="E24" s="318">
        <f>'Balance Sheet'!E13/Assumptions!E4*365</f>
        <v>18.405822159353619</v>
      </c>
      <c r="F24" s="337">
        <f>AVERAGE($C24:$E24)</f>
        <v>17.824899892395276</v>
      </c>
      <c r="G24" s="338">
        <f>AVERAGE($C24:$E24)</f>
        <v>17.824899892395276</v>
      </c>
      <c r="H24" s="338">
        <f>AVERAGE($C24:$E24)</f>
        <v>17.824899892395276</v>
      </c>
      <c r="I24" s="338">
        <f>AVERAGE($C24:$E24)</f>
        <v>17.824899892395276</v>
      </c>
      <c r="J24" s="339">
        <f>AVERAGE($C24:$E24)</f>
        <v>17.824899892395276</v>
      </c>
      <c r="K24" s="243"/>
    </row>
    <row r="25" spans="1:11" ht="15" customHeight="1" x14ac:dyDescent="0.25">
      <c r="A25" s="213" t="s">
        <v>210</v>
      </c>
      <c r="B25" s="235"/>
      <c r="C25" s="220">
        <f>C24*C4/365</f>
        <v>261380</v>
      </c>
      <c r="D25" s="314">
        <f t="shared" ref="D25:J25" si="12">D24*D4/365</f>
        <v>349176</v>
      </c>
      <c r="E25" s="318">
        <f t="shared" si="12"/>
        <v>360338.99999999994</v>
      </c>
      <c r="F25" s="337">
        <f t="shared" si="12"/>
        <v>371148.60049918928</v>
      </c>
      <c r="G25" s="338">
        <f t="shared" si="12"/>
        <v>387172.99372256303</v>
      </c>
      <c r="H25" s="338">
        <f t="shared" si="12"/>
        <v>403889.24238559604</v>
      </c>
      <c r="I25" s="338">
        <f t="shared" si="12"/>
        <v>421327.21744456823</v>
      </c>
      <c r="J25" s="339">
        <f t="shared" si="12"/>
        <v>439518.07953851367</v>
      </c>
      <c r="K25" s="243"/>
    </row>
    <row r="26" spans="1:11" ht="15" customHeight="1" x14ac:dyDescent="0.25">
      <c r="A26" s="213" t="s">
        <v>212</v>
      </c>
      <c r="B26" s="215"/>
      <c r="C26" s="220">
        <f>'Balance Sheet'!C33/Assumptions!C6*365</f>
        <v>113.37394692772769</v>
      </c>
      <c r="D26" s="314">
        <f>'Balance Sheet'!D33/Assumptions!D6*365</f>
        <v>103.66918978111617</v>
      </c>
      <c r="E26" s="318">
        <f>'Balance Sheet'!E33/Assumptions!E6*365</f>
        <v>88.925867028712375</v>
      </c>
      <c r="F26" s="337">
        <f>E26</f>
        <v>88.925867028712375</v>
      </c>
      <c r="G26" s="338">
        <f t="shared" ref="G26:J26" si="13">F26</f>
        <v>88.925867028712375</v>
      </c>
      <c r="H26" s="338">
        <f t="shared" si="13"/>
        <v>88.925867028712375</v>
      </c>
      <c r="I26" s="338">
        <f t="shared" si="13"/>
        <v>88.925867028712375</v>
      </c>
      <c r="J26" s="339">
        <f t="shared" si="13"/>
        <v>88.925867028712375</v>
      </c>
      <c r="K26" s="243" t="s">
        <v>194</v>
      </c>
    </row>
    <row r="27" spans="1:11" ht="15" customHeight="1" thickBot="1" x14ac:dyDescent="0.3">
      <c r="A27" s="231" t="s">
        <v>211</v>
      </c>
      <c r="B27" s="236"/>
      <c r="C27" s="287">
        <f>C26*C6/365</f>
        <v>930560.00000000012</v>
      </c>
      <c r="D27" s="288">
        <f t="shared" ref="D27:J27" si="14">D26*D6/365</f>
        <v>945657</v>
      </c>
      <c r="E27" s="319">
        <f t="shared" si="14"/>
        <v>841256</v>
      </c>
      <c r="F27" s="340">
        <f t="shared" si="14"/>
        <v>894731.76291197818</v>
      </c>
      <c r="G27" s="341">
        <f t="shared" si="14"/>
        <v>933361.93308926048</v>
      </c>
      <c r="H27" s="341">
        <f t="shared" si="14"/>
        <v>973659.96631755296</v>
      </c>
      <c r="I27" s="341">
        <f t="shared" si="14"/>
        <v>1015697.8728195425</v>
      </c>
      <c r="J27" s="342">
        <f t="shared" si="14"/>
        <v>1059550.7718694478</v>
      </c>
      <c r="K27" s="244"/>
    </row>
    <row r="28" spans="1:11" ht="15" customHeight="1" thickBot="1" x14ac:dyDescent="0.3">
      <c r="A28" s="323" t="s">
        <v>215</v>
      </c>
      <c r="B28" s="324"/>
      <c r="C28" s="320">
        <f>'Balance Sheet'!C14/Assumptions!C4</f>
        <v>0.24306909747265812</v>
      </c>
      <c r="D28" s="321">
        <f>'Balance Sheet'!D14/Assumptions!D4</f>
        <v>0.24887144306111972</v>
      </c>
      <c r="E28" s="322">
        <f>'Balance Sheet'!E14/Assumptions!E4</f>
        <v>0.22578342873712104</v>
      </c>
      <c r="F28" s="343">
        <f>E28</f>
        <v>0.22578342873712104</v>
      </c>
      <c r="G28" s="344">
        <f t="shared" ref="G28:J28" si="15">F28</f>
        <v>0.22578342873712104</v>
      </c>
      <c r="H28" s="344">
        <f t="shared" si="15"/>
        <v>0.22578342873712104</v>
      </c>
      <c r="I28" s="344">
        <f t="shared" si="15"/>
        <v>0.22578342873712104</v>
      </c>
      <c r="J28" s="345">
        <f t="shared" si="15"/>
        <v>0.22578342873712104</v>
      </c>
      <c r="K28" s="245" t="s">
        <v>195</v>
      </c>
    </row>
    <row r="29" spans="1:11" ht="15" customHeight="1" x14ac:dyDescent="0.25">
      <c r="A29" s="211" t="s">
        <v>204</v>
      </c>
      <c r="B29" s="325"/>
      <c r="C29" s="216"/>
      <c r="D29" s="212"/>
      <c r="E29" s="286"/>
      <c r="F29" s="346">
        <v>4400000</v>
      </c>
      <c r="G29" s="335"/>
      <c r="H29" s="335"/>
      <c r="I29" s="335"/>
      <c r="J29" s="336"/>
      <c r="K29" s="242" t="s">
        <v>205</v>
      </c>
    </row>
    <row r="30" spans="1:11" ht="15" customHeight="1" x14ac:dyDescent="0.25">
      <c r="A30" s="213" t="s">
        <v>158</v>
      </c>
      <c r="B30" s="215"/>
      <c r="C30" s="217"/>
      <c r="D30" s="43"/>
      <c r="E30" s="326"/>
      <c r="F30" s="347"/>
      <c r="G30" s="348"/>
      <c r="H30" s="348"/>
      <c r="I30" s="348"/>
      <c r="J30" s="349"/>
      <c r="K30" s="243"/>
    </row>
    <row r="31" spans="1:11" ht="15" customHeight="1" x14ac:dyDescent="0.25">
      <c r="A31" s="213" t="s">
        <v>159</v>
      </c>
      <c r="B31" s="215"/>
      <c r="C31" s="220">
        <f>-SUM('Cash Flow Statement'!C25:C26)</f>
        <v>868910</v>
      </c>
      <c r="D31" s="314">
        <f>-SUM('Cash Flow Statement'!D25:D26)</f>
        <v>989151</v>
      </c>
      <c r="E31" s="318">
        <f>-SUM('Cash Flow Statement'!E25:E26)</f>
        <v>943186</v>
      </c>
      <c r="F31" s="337">
        <f>$F29/5</f>
        <v>880000</v>
      </c>
      <c r="G31" s="338">
        <f>$F29/5</f>
        <v>880000</v>
      </c>
      <c r="H31" s="338">
        <f>$F29/5</f>
        <v>880000</v>
      </c>
      <c r="I31" s="338">
        <f>$F29/5</f>
        <v>880000</v>
      </c>
      <c r="J31" s="339">
        <f>$F29/5</f>
        <v>880000</v>
      </c>
      <c r="K31" s="243" t="s">
        <v>208</v>
      </c>
    </row>
    <row r="32" spans="1:11" ht="15" customHeight="1" x14ac:dyDescent="0.25">
      <c r="A32" s="213" t="s">
        <v>160</v>
      </c>
      <c r="B32" s="215"/>
      <c r="C32" s="220">
        <f>'PPE and Intangible'!B14</f>
        <v>662305</v>
      </c>
      <c r="D32" s="314">
        <f>'PPE and Intangible'!C14</f>
        <v>666777</v>
      </c>
      <c r="E32" s="318">
        <f>'PPE and Intangible'!D14</f>
        <v>661936</v>
      </c>
      <c r="F32" s="337">
        <f>F36*F4</f>
        <v>710600</v>
      </c>
      <c r="G32" s="338">
        <f>G36*G4</f>
        <v>741280.25531879708</v>
      </c>
      <c r="H32" s="338">
        <f>H36*H4</f>
        <v>773285.13499226153</v>
      </c>
      <c r="I32" s="338">
        <f>I36*I4</f>
        <v>806671.82986390952</v>
      </c>
      <c r="J32" s="339">
        <f>J36*J4</f>
        <v>841500</v>
      </c>
      <c r="K32" s="243" t="s">
        <v>199</v>
      </c>
    </row>
    <row r="33" spans="1:11" ht="15" customHeight="1" x14ac:dyDescent="0.25">
      <c r="A33" s="213" t="s">
        <v>168</v>
      </c>
      <c r="B33" s="215"/>
      <c r="C33" s="218">
        <f t="shared" ref="C33:J33" si="16">C31/C4</f>
        <v>0.14554250432066484</v>
      </c>
      <c r="D33" s="210">
        <f t="shared" si="16"/>
        <v>0.14815039477775441</v>
      </c>
      <c r="E33" s="327">
        <f t="shared" si="16"/>
        <v>0.13199225051806887</v>
      </c>
      <c r="F33" s="350">
        <f t="shared" si="16"/>
        <v>0.11578947368421053</v>
      </c>
      <c r="G33" s="351">
        <f t="shared" si="16"/>
        <v>0.11099715581202743</v>
      </c>
      <c r="H33" s="351">
        <f t="shared" si="16"/>
        <v>0.10640318334946837</v>
      </c>
      <c r="I33" s="351">
        <f t="shared" si="16"/>
        <v>0.10199934713708937</v>
      </c>
      <c r="J33" s="352">
        <f t="shared" si="16"/>
        <v>9.7777777777777783E-2</v>
      </c>
      <c r="K33" s="243"/>
    </row>
    <row r="34" spans="1:11" ht="15" customHeight="1" x14ac:dyDescent="0.25">
      <c r="A34" s="213" t="s">
        <v>217</v>
      </c>
      <c r="B34" s="235"/>
      <c r="C34" s="218">
        <f>-'Cash Flow Statement'!C25/Assumptions!C31</f>
        <v>0.56064264423242915</v>
      </c>
      <c r="D34" s="210">
        <f>-'Cash Flow Statement'!D25/Assumptions!D31</f>
        <v>0.51243338984644404</v>
      </c>
      <c r="E34" s="327">
        <f>-'Cash Flow Statement'!E25/Assumptions!E31</f>
        <v>0.4855627628060637</v>
      </c>
      <c r="F34" s="350">
        <f>E34</f>
        <v>0.4855627628060637</v>
      </c>
      <c r="G34" s="351">
        <f t="shared" ref="G34:J34" si="17">F34</f>
        <v>0.4855627628060637</v>
      </c>
      <c r="H34" s="351">
        <f t="shared" si="17"/>
        <v>0.4855627628060637</v>
      </c>
      <c r="I34" s="351">
        <f t="shared" si="17"/>
        <v>0.4855627628060637</v>
      </c>
      <c r="J34" s="352">
        <f t="shared" si="17"/>
        <v>0.4855627628060637</v>
      </c>
      <c r="K34" s="243" t="s">
        <v>221</v>
      </c>
    </row>
    <row r="35" spans="1:11" ht="15" customHeight="1" x14ac:dyDescent="0.25">
      <c r="A35" s="213" t="s">
        <v>218</v>
      </c>
      <c r="B35" s="235"/>
      <c r="C35" s="373">
        <f>100%-C34</f>
        <v>0.43935735576757085</v>
      </c>
      <c r="D35" s="374">
        <f t="shared" ref="D35:J35" si="18">100%-D34</f>
        <v>0.48756661015355596</v>
      </c>
      <c r="E35" s="375">
        <f t="shared" si="18"/>
        <v>0.5144372371939363</v>
      </c>
      <c r="F35" s="376">
        <f t="shared" si="18"/>
        <v>0.5144372371939363</v>
      </c>
      <c r="G35" s="356">
        <f t="shared" si="18"/>
        <v>0.5144372371939363</v>
      </c>
      <c r="H35" s="356">
        <f t="shared" si="18"/>
        <v>0.5144372371939363</v>
      </c>
      <c r="I35" s="356">
        <f t="shared" si="18"/>
        <v>0.5144372371939363</v>
      </c>
      <c r="J35" s="357">
        <f t="shared" si="18"/>
        <v>0.5144372371939363</v>
      </c>
      <c r="K35" s="243"/>
    </row>
    <row r="36" spans="1:11" ht="15" customHeight="1" x14ac:dyDescent="0.25">
      <c r="A36" s="213" t="s">
        <v>169</v>
      </c>
      <c r="B36" s="215"/>
      <c r="C36" s="218">
        <f>C32/C4</f>
        <v>0.11093614796020064</v>
      </c>
      <c r="D36" s="210">
        <f>D32/D4</f>
        <v>9.9866729931756382E-2</v>
      </c>
      <c r="E36" s="327">
        <f>E32/E4</f>
        <v>9.2633290081625935E-2</v>
      </c>
      <c r="F36" s="353">
        <v>9.35E-2</v>
      </c>
      <c r="G36" s="354">
        <v>9.35E-2</v>
      </c>
      <c r="H36" s="354">
        <v>9.35E-2</v>
      </c>
      <c r="I36" s="354">
        <v>9.35E-2</v>
      </c>
      <c r="J36" s="355">
        <v>9.35E-2</v>
      </c>
      <c r="K36" s="243" t="s">
        <v>196</v>
      </c>
    </row>
    <row r="37" spans="1:11" ht="15" customHeight="1" x14ac:dyDescent="0.25">
      <c r="A37" s="213" t="s">
        <v>219</v>
      </c>
      <c r="B37" s="235"/>
      <c r="C37" s="218">
        <f>'PPE and Intangible'!B6/Assumptions!C32</f>
        <v>0.5618272548146247</v>
      </c>
      <c r="D37" s="210">
        <f>'PPE and Intangible'!C6/Assumptions!D32</f>
        <v>0.5506173728247975</v>
      </c>
      <c r="E37" s="327">
        <f>'PPE and Intangible'!D6/Assumptions!E32</f>
        <v>0.54869655072393708</v>
      </c>
      <c r="F37" s="350">
        <f>E37</f>
        <v>0.54869655072393708</v>
      </c>
      <c r="G37" s="351">
        <f t="shared" ref="G37:J37" si="19">F37</f>
        <v>0.54869655072393708</v>
      </c>
      <c r="H37" s="351">
        <f t="shared" si="19"/>
        <v>0.54869655072393708</v>
      </c>
      <c r="I37" s="351">
        <f t="shared" si="19"/>
        <v>0.54869655072393708</v>
      </c>
      <c r="J37" s="352">
        <f t="shared" si="19"/>
        <v>0.54869655072393708</v>
      </c>
      <c r="K37" s="243" t="s">
        <v>221</v>
      </c>
    </row>
    <row r="38" spans="1:11" ht="15" customHeight="1" thickBot="1" x14ac:dyDescent="0.3">
      <c r="A38" s="231" t="s">
        <v>220</v>
      </c>
      <c r="B38" s="236"/>
      <c r="C38" s="233">
        <f>1-C37</f>
        <v>0.4381727451853753</v>
      </c>
      <c r="D38" s="377">
        <f t="shared" ref="D38:J38" si="20">1-D37</f>
        <v>0.4493826271752025</v>
      </c>
      <c r="E38" s="378">
        <f t="shared" si="20"/>
        <v>0.45130344927606292</v>
      </c>
      <c r="F38" s="364">
        <f t="shared" si="20"/>
        <v>0.45130344927606292</v>
      </c>
      <c r="G38" s="379">
        <f t="shared" si="20"/>
        <v>0.45130344927606292</v>
      </c>
      <c r="H38" s="379">
        <f t="shared" si="20"/>
        <v>0.45130344927606292</v>
      </c>
      <c r="I38" s="379">
        <f t="shared" si="20"/>
        <v>0.45130344927606292</v>
      </c>
      <c r="J38" s="380">
        <f t="shared" si="20"/>
        <v>0.45130344927606292</v>
      </c>
      <c r="K38" s="244"/>
    </row>
    <row r="39" spans="1:11" ht="15" customHeight="1" x14ac:dyDescent="0.25">
      <c r="A39" s="211" t="s">
        <v>30</v>
      </c>
      <c r="B39" s="214"/>
      <c r="C39" s="330"/>
      <c r="D39" s="212"/>
      <c r="E39" s="286"/>
      <c r="F39" s="334"/>
      <c r="G39" s="335"/>
      <c r="H39" s="335"/>
      <c r="I39" s="335"/>
      <c r="J39" s="336"/>
      <c r="K39" s="242"/>
    </row>
    <row r="40" spans="1:11" ht="15" customHeight="1" x14ac:dyDescent="0.25">
      <c r="A40" s="213" t="s">
        <v>161</v>
      </c>
      <c r="B40" s="215"/>
      <c r="C40" s="220">
        <f>-('Cash Flow Statement'!C32+'Cash Flow Statement'!C34+'Cash Flow Statement'!C36+'Cash Flow Statement'!C38+'Cash Flow Statement'!C40)</f>
        <v>751070</v>
      </c>
      <c r="D40" s="314">
        <f>-('Cash Flow Statement'!D32+'Cash Flow Statement'!D34+'Cash Flow Statement'!D36+'Cash Flow Statement'!D38+'Cash Flow Statement'!D40)</f>
        <v>411637</v>
      </c>
      <c r="E40" s="318">
        <f>-('Cash Flow Statement'!E32+'Cash Flow Statement'!E34+'Cash Flow Statement'!E36+'Cash Flow Statement'!E38+'Cash Flow Statement'!E40)</f>
        <v>932575</v>
      </c>
      <c r="F40" s="337">
        <f>E54</f>
        <v>962309</v>
      </c>
      <c r="G40" s="338">
        <f>G41*'Balance Sheet'!F30</f>
        <v>802458.6342085416</v>
      </c>
      <c r="H40" s="338">
        <f>H41*'Balance Sheet'!G30</f>
        <v>802458.6342085416</v>
      </c>
      <c r="I40" s="338">
        <f>I41*'Balance Sheet'!H30</f>
        <v>802458.6342085416</v>
      </c>
      <c r="J40" s="339">
        <f>J41*'Balance Sheet'!I30</f>
        <v>802458.6342085416</v>
      </c>
      <c r="K40" s="243" t="s">
        <v>207</v>
      </c>
    </row>
    <row r="41" spans="1:11" ht="15" customHeight="1" x14ac:dyDescent="0.25">
      <c r="A41" s="213" t="s">
        <v>225</v>
      </c>
      <c r="B41" s="235"/>
      <c r="C41" s="219"/>
      <c r="D41" s="210">
        <f>D40/'Balance Sheet'!C30</f>
        <v>0.16617121201233981</v>
      </c>
      <c r="E41" s="327">
        <f>E40/'Balance Sheet'!D30</f>
        <v>0.27822379506713829</v>
      </c>
      <c r="F41" s="350">
        <f>F40/'Balance Sheet'!E30</f>
        <v>0.33364618510377153</v>
      </c>
      <c r="G41" s="356">
        <f>E41</f>
        <v>0.27822379506713829</v>
      </c>
      <c r="H41" s="356">
        <f>G41</f>
        <v>0.27822379506713829</v>
      </c>
      <c r="I41" s="356">
        <f t="shared" ref="I41:J41" si="21">H41</f>
        <v>0.27822379506713829</v>
      </c>
      <c r="J41" s="357">
        <f t="shared" si="21"/>
        <v>0.27822379506713829</v>
      </c>
      <c r="K41" s="243" t="s">
        <v>206</v>
      </c>
    </row>
    <row r="42" spans="1:11" ht="15" customHeight="1" x14ac:dyDescent="0.25">
      <c r="A42" s="328" t="s">
        <v>226</v>
      </c>
      <c r="B42" s="329"/>
      <c r="C42" s="381">
        <f>-'Cash Flow Statement'!C32/Assumptions!C40</f>
        <v>0.76650911366450536</v>
      </c>
      <c r="D42" s="382">
        <f>-'Cash Flow Statement'!D32/Assumptions!D40</f>
        <v>0</v>
      </c>
      <c r="E42" s="383">
        <f>-'Cash Flow Statement'!E32/Assumptions!E40</f>
        <v>0.48356754148459907</v>
      </c>
      <c r="F42" s="387">
        <f>-SUM('Cash Flow Statement'!$C32:$E32)/SUM($C$40:$E$40)</f>
        <v>0.48998893705000091</v>
      </c>
      <c r="G42" s="388">
        <f>-SUM('Cash Flow Statement'!$C32:$E32)/SUM($C$40:$E$40)</f>
        <v>0.48998893705000091</v>
      </c>
      <c r="H42" s="388">
        <f>-SUM('Cash Flow Statement'!$C32:$E32)/SUM($C$40:$E$40)</f>
        <v>0.48998893705000091</v>
      </c>
      <c r="I42" s="388">
        <f>-SUM('Cash Flow Statement'!$C32:$E32)/SUM($C$40:$E$40)</f>
        <v>0.48998893705000091</v>
      </c>
      <c r="J42" s="389">
        <f>-SUM('Cash Flow Statement'!$C32:$E32)/SUM($C$40:$E$40)</f>
        <v>0.48998893705000091</v>
      </c>
      <c r="K42" s="543" t="s">
        <v>237</v>
      </c>
    </row>
    <row r="43" spans="1:11" ht="15" customHeight="1" x14ac:dyDescent="0.25">
      <c r="A43" s="328" t="s">
        <v>227</v>
      </c>
      <c r="B43" s="329"/>
      <c r="C43" s="381">
        <f>-'Cash Flow Statement'!C34/Assumptions!C40</f>
        <v>6.6053763297695287E-2</v>
      </c>
      <c r="D43" s="382">
        <f>-'Cash Flow Statement'!D34/Assumptions!D40</f>
        <v>0.59190257435556082</v>
      </c>
      <c r="E43" s="383">
        <f>-'Cash Flow Statement'!E34/Assumptions!E40</f>
        <v>3.5701150041551617E-2</v>
      </c>
      <c r="F43" s="387">
        <f>-SUM('Cash Flow Statement'!$C34:$E34)/SUM($C$40:$E$40)</f>
        <v>0.15585205237290256</v>
      </c>
      <c r="G43" s="388">
        <f>-SUM('Cash Flow Statement'!$C34:$E34)/SUM($C$40:$E$40)</f>
        <v>0.15585205237290256</v>
      </c>
      <c r="H43" s="388">
        <f>-SUM('Cash Flow Statement'!$C34:$E34)/SUM($C$40:$E$40)</f>
        <v>0.15585205237290256</v>
      </c>
      <c r="I43" s="388">
        <f>-SUM('Cash Flow Statement'!$C34:$E34)/SUM($C$40:$E$40)</f>
        <v>0.15585205237290256</v>
      </c>
      <c r="J43" s="389">
        <f>-SUM('Cash Flow Statement'!$C34:$E34)/SUM($C$40:$E$40)</f>
        <v>0.15585205237290256</v>
      </c>
      <c r="K43" s="543"/>
    </row>
    <row r="44" spans="1:11" ht="15" customHeight="1" x14ac:dyDescent="0.25">
      <c r="A44" s="328" t="s">
        <v>228</v>
      </c>
      <c r="B44" s="329"/>
      <c r="C44" s="381">
        <f>-'Cash Flow Statement'!C36/Assumptions!C40</f>
        <v>9.6528952028439433E-2</v>
      </c>
      <c r="D44" s="382">
        <f>-'Cash Flow Statement'!D36/Assumptions!D40</f>
        <v>0.25432602025571072</v>
      </c>
      <c r="E44" s="383">
        <f>-'Cash Flow Statement'!E36/Assumptions!E40</f>
        <v>0.40568533361927994</v>
      </c>
      <c r="F44" s="387">
        <f>-SUM('Cash Flow Statement'!$C36:$E36)/SUM($C$40:$E$40)</f>
        <v>0.26512994432253034</v>
      </c>
      <c r="G44" s="388">
        <f>-SUM('Cash Flow Statement'!$C36:$E36)/SUM($C$40:$E$40)</f>
        <v>0.26512994432253034</v>
      </c>
      <c r="H44" s="388">
        <f>-SUM('Cash Flow Statement'!$C36:$E36)/SUM($C$40:$E$40)</f>
        <v>0.26512994432253034</v>
      </c>
      <c r="I44" s="388">
        <f>-SUM('Cash Flow Statement'!$C36:$E36)/SUM($C$40:$E$40)</f>
        <v>0.26512994432253034</v>
      </c>
      <c r="J44" s="389">
        <f>-SUM('Cash Flow Statement'!$C36:$E36)/SUM($C$40:$E$40)</f>
        <v>0.26512994432253034</v>
      </c>
      <c r="K44" s="543"/>
    </row>
    <row r="45" spans="1:11" ht="15" customHeight="1" x14ac:dyDescent="0.25">
      <c r="A45" s="328" t="s">
        <v>229</v>
      </c>
      <c r="B45" s="329"/>
      <c r="C45" s="381">
        <f>-'Cash Flow Statement'!C38/Assumptions!C40</f>
        <v>4.7353775280599676E-2</v>
      </c>
      <c r="D45" s="382">
        <f>-'Cash Flow Statement'!D38/Assumptions!D40</f>
        <v>0.10032382900468131</v>
      </c>
      <c r="E45" s="383">
        <f>-'Cash Flow Statement'!E38/Assumptions!E40</f>
        <v>4.9498431761520523E-2</v>
      </c>
      <c r="F45" s="387">
        <f>-SUM('Cash Flow Statement'!$C38:$E38)/SUM($C$40:$E$40)</f>
        <v>5.8714769658690331E-2</v>
      </c>
      <c r="G45" s="388">
        <f>-SUM('Cash Flow Statement'!$C38:$E38)/SUM($C$40:$E$40)</f>
        <v>5.8714769658690331E-2</v>
      </c>
      <c r="H45" s="388">
        <f>-SUM('Cash Flow Statement'!$C38:$E38)/SUM($C$40:$E$40)</f>
        <v>5.8714769658690331E-2</v>
      </c>
      <c r="I45" s="388">
        <f>-SUM('Cash Flow Statement'!$C38:$E38)/SUM($C$40:$E$40)</f>
        <v>5.8714769658690331E-2</v>
      </c>
      <c r="J45" s="389">
        <f>-SUM('Cash Flow Statement'!$C38:$E38)/SUM($C$40:$E$40)</f>
        <v>5.8714769658690331E-2</v>
      </c>
      <c r="K45" s="543"/>
    </row>
    <row r="46" spans="1:11" ht="15" customHeight="1" x14ac:dyDescent="0.25">
      <c r="A46" s="328" t="s">
        <v>230</v>
      </c>
      <c r="B46" s="329"/>
      <c r="C46" s="381">
        <f>-'Cash Flow Statement'!C40/Assumptions!C40</f>
        <v>2.3554395728760301E-2</v>
      </c>
      <c r="D46" s="382">
        <f>-'Cash Flow Statement'!D40/Assumptions!D40</f>
        <v>5.344757638404711E-2</v>
      </c>
      <c r="E46" s="383">
        <f>-'Cash Flow Statement'!E40/Assumptions!E40</f>
        <v>2.5547543093048818E-2</v>
      </c>
      <c r="F46" s="387">
        <f>-SUM('Cash Flow Statement'!$C40:$E40)/SUM($C$40:$E$40)</f>
        <v>3.0314296595875877E-2</v>
      </c>
      <c r="G46" s="388">
        <f>-SUM('Cash Flow Statement'!$C40:$E40)/SUM($C$40:$E$40)</f>
        <v>3.0314296595875877E-2</v>
      </c>
      <c r="H46" s="388">
        <f>-SUM('Cash Flow Statement'!$C40:$E40)/SUM($C$40:$E$40)</f>
        <v>3.0314296595875877E-2</v>
      </c>
      <c r="I46" s="388">
        <f>-SUM('Cash Flow Statement'!$C40:$E40)/SUM($C$40:$E$40)</f>
        <v>3.0314296595875877E-2</v>
      </c>
      <c r="J46" s="389">
        <f>-SUM('Cash Flow Statement'!$C40:$E40)/SUM($C$40:$E$40)</f>
        <v>3.0314296595875877E-2</v>
      </c>
      <c r="K46" s="543"/>
    </row>
    <row r="47" spans="1:11" ht="15" customHeight="1" x14ac:dyDescent="0.25">
      <c r="A47" s="213" t="s">
        <v>162</v>
      </c>
      <c r="B47" s="215"/>
      <c r="C47" s="220">
        <f>'Cash Flow Statement'!C33+'Cash Flow Statement'!C35+'Cash Flow Statement'!C37+'Cash Flow Statement'!C39</f>
        <v>435813</v>
      </c>
      <c r="D47" s="314">
        <f>'Cash Flow Statement'!D33+'Cash Flow Statement'!D35+'Cash Flow Statement'!D37+'Cash Flow Statement'!D39</f>
        <v>1112666</v>
      </c>
      <c r="E47" s="318">
        <f>'Cash Flow Statement'!E33+'Cash Flow Statement'!E35+'Cash Flow Statement'!E37+'Cash Flow Statement'!E39</f>
        <v>584902</v>
      </c>
      <c r="F47" s="337">
        <f>F48*F40</f>
        <v>962309</v>
      </c>
      <c r="G47" s="338">
        <f>G48*G40</f>
        <v>802458.6342085416</v>
      </c>
      <c r="H47" s="338">
        <f>H48*H40</f>
        <v>802458.6342085416</v>
      </c>
      <c r="I47" s="338">
        <f>I48*I40</f>
        <v>802458.6342085416</v>
      </c>
      <c r="J47" s="339">
        <f>J48*J40</f>
        <v>802458.6342085416</v>
      </c>
      <c r="K47" s="308"/>
    </row>
    <row r="48" spans="1:11" ht="15" customHeight="1" x14ac:dyDescent="0.25">
      <c r="A48" s="213" t="s">
        <v>202</v>
      </c>
      <c r="B48" s="235"/>
      <c r="C48" s="218">
        <f>C47/C40</f>
        <v>0.58025616786717615</v>
      </c>
      <c r="D48" s="210">
        <f>D47/D40</f>
        <v>2.7030271817159295</v>
      </c>
      <c r="E48" s="327">
        <f>E47/E40</f>
        <v>0.6271903064096721</v>
      </c>
      <c r="F48" s="358">
        <v>1</v>
      </c>
      <c r="G48" s="359">
        <v>1</v>
      </c>
      <c r="H48" s="359">
        <v>1</v>
      </c>
      <c r="I48" s="359">
        <v>1</v>
      </c>
      <c r="J48" s="360">
        <v>1</v>
      </c>
      <c r="K48" s="243" t="s">
        <v>203</v>
      </c>
    </row>
    <row r="49" spans="1:11" ht="15" customHeight="1" x14ac:dyDescent="0.25">
      <c r="A49" s="328" t="s">
        <v>232</v>
      </c>
      <c r="B49" s="329"/>
      <c r="C49" s="381">
        <f>'Cash Flow Statement'!C33/Assumptions!C47</f>
        <v>0</v>
      </c>
      <c r="D49" s="382">
        <f>'Cash Flow Statement'!D33/Assumptions!D47</f>
        <v>0.44590649844607455</v>
      </c>
      <c r="E49" s="383">
        <f>'Cash Flow Statement'!E33/Assumptions!E47</f>
        <v>0</v>
      </c>
      <c r="F49" s="387">
        <f>SUM('Cash Flow Statement'!$C33:$E33)/SUM($C$47:$E$47)</f>
        <v>0.23256277242555362</v>
      </c>
      <c r="G49" s="388">
        <f>SUM('Cash Flow Statement'!$C33:$E33)/SUM($C$47:$E$47)</f>
        <v>0.23256277242555362</v>
      </c>
      <c r="H49" s="388">
        <f>SUM('Cash Flow Statement'!$C33:$E33)/SUM($C$47:$E$47)</f>
        <v>0.23256277242555362</v>
      </c>
      <c r="I49" s="388">
        <f>SUM('Cash Flow Statement'!$C33:$E33)/SUM($C$47:$E$47)</f>
        <v>0.23256277242555362</v>
      </c>
      <c r="J49" s="389">
        <f>SUM('Cash Flow Statement'!$C33:$E33)/SUM($C$47:$E$47)</f>
        <v>0.23256277242555362</v>
      </c>
      <c r="K49" s="544" t="s">
        <v>238</v>
      </c>
    </row>
    <row r="50" spans="1:11" ht="15" customHeight="1" x14ac:dyDescent="0.25">
      <c r="A50" s="328" t="s">
        <v>233</v>
      </c>
      <c r="B50" s="329"/>
      <c r="C50" s="381">
        <f>'Cash Flow Statement'!C35/Assumptions!C47</f>
        <v>0.34697679968243261</v>
      </c>
      <c r="D50" s="382">
        <f>'Cash Flow Statement'!D35/Assumptions!D47</f>
        <v>0.30602085441632981</v>
      </c>
      <c r="E50" s="383">
        <f>'Cash Flow Statement'!E35/Assumptions!E47</f>
        <v>0.24341684589897111</v>
      </c>
      <c r="F50" s="387">
        <f>SUM('Cash Flow Statement'!$C35:$E35)/SUM($C$47:$E$47)</f>
        <v>0.29722351516208312</v>
      </c>
      <c r="G50" s="388">
        <f>SUM('Cash Flow Statement'!$C35:$E35)/SUM($C$47:$E$47)</f>
        <v>0.29722351516208312</v>
      </c>
      <c r="H50" s="388">
        <f>SUM('Cash Flow Statement'!$C35:$E35)/SUM($C$47:$E$47)</f>
        <v>0.29722351516208312</v>
      </c>
      <c r="I50" s="388">
        <f>SUM('Cash Flow Statement'!$C35:$E35)/SUM($C$47:$E$47)</f>
        <v>0.29722351516208312</v>
      </c>
      <c r="J50" s="389">
        <f>SUM('Cash Flow Statement'!$C35:$E35)/SUM($C$47:$E$47)</f>
        <v>0.29722351516208312</v>
      </c>
      <c r="K50" s="544"/>
    </row>
    <row r="51" spans="1:11" ht="15" customHeight="1" x14ac:dyDescent="0.25">
      <c r="A51" s="328" t="s">
        <v>234</v>
      </c>
      <c r="B51" s="329"/>
      <c r="C51" s="381">
        <f>'Cash Flow Statement'!C37/Assumptions!C47</f>
        <v>0.5736405293095892</v>
      </c>
      <c r="D51" s="382">
        <f>'Cash Flow Statement'!D37/Assumptions!D47</f>
        <v>0.20221701750570251</v>
      </c>
      <c r="E51" s="383">
        <f>'Cash Flow Statement'!E37/Assumptions!E47</f>
        <v>0.68387524747735517</v>
      </c>
      <c r="F51" s="387">
        <f>SUM('Cash Flow Statement'!$C37:$E37)/SUM($C$47:$E$47)</f>
        <v>0.41014708577605219</v>
      </c>
      <c r="G51" s="388">
        <f>SUM('Cash Flow Statement'!$C37:$E37)/SUM($C$47:$E$47)</f>
        <v>0.41014708577605219</v>
      </c>
      <c r="H51" s="388">
        <f>SUM('Cash Flow Statement'!$C37:$E37)/SUM($C$47:$E$47)</f>
        <v>0.41014708577605219</v>
      </c>
      <c r="I51" s="388">
        <f>SUM('Cash Flow Statement'!$C37:$E37)/SUM($C$47:$E$47)</f>
        <v>0.41014708577605219</v>
      </c>
      <c r="J51" s="389">
        <f>SUM('Cash Flow Statement'!$C37:$E37)/SUM($C$47:$E$47)</f>
        <v>0.41014708577605219</v>
      </c>
      <c r="K51" s="544"/>
    </row>
    <row r="52" spans="1:11" ht="15" customHeight="1" x14ac:dyDescent="0.25">
      <c r="A52" s="328" t="s">
        <v>235</v>
      </c>
      <c r="B52" s="329"/>
      <c r="C52" s="381">
        <f>'Cash Flow Statement'!C39/Assumptions!C47</f>
        <v>7.9382671007978189E-2</v>
      </c>
      <c r="D52" s="382">
        <f>'Cash Flow Statement'!D39/Assumptions!D47</f>
        <v>4.585562963189313E-2</v>
      </c>
      <c r="E52" s="383">
        <f>'Cash Flow Statement'!E39/Assumptions!E47</f>
        <v>7.2707906623673713E-2</v>
      </c>
      <c r="F52" s="387">
        <f>SUM('Cash Flow Statement'!$C39:$E39)/SUM($C$47:$E$47)</f>
        <v>6.0066626636311092E-2</v>
      </c>
      <c r="G52" s="388">
        <f>SUM('Cash Flow Statement'!$C39:$E39)/SUM($C$47:$E$47)</f>
        <v>6.0066626636311092E-2</v>
      </c>
      <c r="H52" s="388">
        <f>SUM('Cash Flow Statement'!$C39:$E39)/SUM($C$47:$E$47)</f>
        <v>6.0066626636311092E-2</v>
      </c>
      <c r="I52" s="388">
        <f>SUM('Cash Flow Statement'!$C39:$E39)/SUM($C$47:$E$47)</f>
        <v>6.0066626636311092E-2</v>
      </c>
      <c r="J52" s="389">
        <f>SUM('Cash Flow Statement'!$C39:$E39)/SUM($C$47:$E$47)</f>
        <v>6.0066626636311092E-2</v>
      </c>
      <c r="K52" s="544"/>
    </row>
    <row r="53" spans="1:11" ht="15" customHeight="1" x14ac:dyDescent="0.25">
      <c r="A53" s="213" t="s">
        <v>173</v>
      </c>
      <c r="B53" s="235"/>
      <c r="C53" s="220">
        <f t="shared" ref="C53:J53" si="22">C47-C40</f>
        <v>-315257</v>
      </c>
      <c r="D53" s="314">
        <f t="shared" si="22"/>
        <v>701029</v>
      </c>
      <c r="E53" s="318">
        <f t="shared" si="22"/>
        <v>-347673</v>
      </c>
      <c r="F53" s="337">
        <f t="shared" si="22"/>
        <v>0</v>
      </c>
      <c r="G53" s="338">
        <f t="shared" si="22"/>
        <v>0</v>
      </c>
      <c r="H53" s="338">
        <f t="shared" si="22"/>
        <v>0</v>
      </c>
      <c r="I53" s="338">
        <f t="shared" si="22"/>
        <v>0</v>
      </c>
      <c r="J53" s="339">
        <f t="shared" si="22"/>
        <v>0</v>
      </c>
      <c r="K53" s="308"/>
    </row>
    <row r="54" spans="1:11" ht="15" customHeight="1" thickBot="1" x14ac:dyDescent="0.3">
      <c r="A54" s="231" t="s">
        <v>174</v>
      </c>
      <c r="B54" s="236"/>
      <c r="C54" s="287"/>
      <c r="D54" s="288">
        <f>Debt!B12</f>
        <v>1334277</v>
      </c>
      <c r="E54" s="319">
        <f>Debt!E12</f>
        <v>962309</v>
      </c>
      <c r="F54" s="340"/>
      <c r="G54" s="341"/>
      <c r="H54" s="341"/>
      <c r="I54" s="341"/>
      <c r="J54" s="342"/>
      <c r="K54" s="244" t="s">
        <v>175</v>
      </c>
    </row>
    <row r="55" spans="1:11" ht="15" customHeight="1" x14ac:dyDescent="0.25">
      <c r="A55" s="211" t="s">
        <v>163</v>
      </c>
      <c r="B55" s="214"/>
      <c r="C55" s="216"/>
      <c r="D55" s="212"/>
      <c r="E55" s="286"/>
      <c r="F55" s="334"/>
      <c r="G55" s="335"/>
      <c r="H55" s="335"/>
      <c r="I55" s="335"/>
      <c r="J55" s="336"/>
      <c r="K55" s="242"/>
    </row>
    <row r="56" spans="1:11" ht="15" customHeight="1" x14ac:dyDescent="0.25">
      <c r="A56" s="213" t="s">
        <v>164</v>
      </c>
      <c r="B56" s="215"/>
      <c r="C56" s="218">
        <f>-'Cash Flow Statement'!C41/'Income Statement'!C19</f>
        <v>0.26247476135100251</v>
      </c>
      <c r="D56" s="210">
        <f>-'Cash Flow Statement'!D41/'Income Statement'!D19</f>
        <v>0.28906278234049138</v>
      </c>
      <c r="E56" s="327">
        <f>-'Cash Flow Statement'!E41/'Income Statement'!E19</f>
        <v>0.33170561562608997</v>
      </c>
      <c r="F56" s="347"/>
      <c r="G56" s="348"/>
      <c r="H56" s="348"/>
      <c r="I56" s="348"/>
      <c r="J56" s="349"/>
      <c r="K56" s="243" t="s">
        <v>178</v>
      </c>
    </row>
    <row r="57" spans="1:11" ht="15" customHeight="1" x14ac:dyDescent="0.25">
      <c r="A57" s="213" t="s">
        <v>182</v>
      </c>
      <c r="B57" s="235"/>
      <c r="C57" s="217"/>
      <c r="D57" s="210">
        <f>-'Cash Flow Statement'!D41/'Income Statement'!C19</f>
        <v>0.3513587338504594</v>
      </c>
      <c r="E57" s="327">
        <f>-'Cash Flow Statement'!E41/'Income Statement'!D19</f>
        <v>0.34806163704425525</v>
      </c>
      <c r="F57" s="358">
        <v>0.4</v>
      </c>
      <c r="G57" s="359">
        <v>0.4</v>
      </c>
      <c r="H57" s="359">
        <v>0.4</v>
      </c>
      <c r="I57" s="359">
        <v>0.4</v>
      </c>
      <c r="J57" s="360">
        <v>0.4</v>
      </c>
      <c r="K57" s="243" t="s">
        <v>200</v>
      </c>
    </row>
    <row r="58" spans="1:11" ht="15" customHeight="1" x14ac:dyDescent="0.25">
      <c r="A58" s="213" t="s">
        <v>165</v>
      </c>
      <c r="B58" s="215"/>
      <c r="C58" s="220">
        <f>-'Cash Flow Statement'!C43</f>
        <v>460629</v>
      </c>
      <c r="D58" s="314">
        <f>-'Cash Flow Statement'!D43</f>
        <v>581084</v>
      </c>
      <c r="E58" s="318">
        <f>-'Cash Flow Statement'!E43</f>
        <v>785329</v>
      </c>
      <c r="F58" s="361">
        <v>700000</v>
      </c>
      <c r="G58" s="362">
        <v>700000</v>
      </c>
      <c r="H58" s="362">
        <v>700000</v>
      </c>
      <c r="I58" s="362">
        <v>700000</v>
      </c>
      <c r="J58" s="363">
        <v>700000</v>
      </c>
      <c r="K58" s="243" t="s">
        <v>197</v>
      </c>
    </row>
    <row r="59" spans="1:11" ht="15" customHeight="1" thickBot="1" x14ac:dyDescent="0.3">
      <c r="A59" s="231" t="s">
        <v>172</v>
      </c>
      <c r="B59" s="236"/>
      <c r="C59" s="233">
        <f>C58/'Income Statement'!C19</f>
        <v>0.36790043193232208</v>
      </c>
      <c r="D59" s="234">
        <f>D58/'Income Statement'!D19</f>
        <v>0.38182060705300097</v>
      </c>
      <c r="E59" s="331">
        <f>E58/'Income Statement'!E19</f>
        <v>0.49177760424918232</v>
      </c>
      <c r="F59" s="364">
        <f>F58/'Income Statement'!F19</f>
        <v>0.40971026015061179</v>
      </c>
      <c r="G59" s="365">
        <f>G58/'Income Statement'!G19</f>
        <v>0.39054496217729739</v>
      </c>
      <c r="H59" s="365">
        <f>H58/'Income Statement'!H19</f>
        <v>0.37214877801588808</v>
      </c>
      <c r="I59" s="365">
        <f>I58/'Income Statement'!I19</f>
        <v>0.35420098565332242</v>
      </c>
      <c r="J59" s="366">
        <f>J58/'Income Statement'!J19</f>
        <v>0.33675181552093464</v>
      </c>
      <c r="K59" s="244"/>
    </row>
    <row r="60" spans="1:11" ht="15" customHeight="1" x14ac:dyDescent="0.25">
      <c r="A60" s="211" t="s">
        <v>177</v>
      </c>
      <c r="B60" s="325"/>
      <c r="C60" s="239">
        <f>'Balance Sheet'!C16/Assumptions!C4</f>
        <v>2.1813201888195029E-2</v>
      </c>
      <c r="D60" s="230">
        <f>'Balance Sheet'!D16/Assumptions!D4</f>
        <v>2.0633495629856089E-2</v>
      </c>
      <c r="E60" s="332">
        <f>'Balance Sheet'!E16/Assumptions!E4</f>
        <v>2.228213958247735E-2</v>
      </c>
      <c r="F60" s="367">
        <f>AVERAGE($C60:$E60)</f>
        <v>2.1576279033509491E-2</v>
      </c>
      <c r="G60" s="368">
        <f>AVERAGE($C60:$E60)</f>
        <v>2.1576279033509491E-2</v>
      </c>
      <c r="H60" s="368">
        <f>AVERAGE($C60:$E60)</f>
        <v>2.1576279033509491E-2</v>
      </c>
      <c r="I60" s="368">
        <f>AVERAGE($C60:$E60)</f>
        <v>2.1576279033509491E-2</v>
      </c>
      <c r="J60" s="369">
        <f>AVERAGE($C60:$E60)</f>
        <v>2.1576279033509491E-2</v>
      </c>
      <c r="K60" s="242" t="s">
        <v>179</v>
      </c>
    </row>
    <row r="61" spans="1:11" ht="15" customHeight="1" thickBot="1" x14ac:dyDescent="0.3">
      <c r="A61" s="231" t="s">
        <v>176</v>
      </c>
      <c r="B61" s="232"/>
      <c r="C61" s="237">
        <f>'Balance Sheet'!C31/Assumptions!C4</f>
        <v>0.17134706588415091</v>
      </c>
      <c r="D61" s="238">
        <f>'Balance Sheet'!D31/Assumptions!D4</f>
        <v>0.16568458997811483</v>
      </c>
      <c r="E61" s="333">
        <f>'Balance Sheet'!E31/Assumptions!E4</f>
        <v>0.19474687675278571</v>
      </c>
      <c r="F61" s="370">
        <f>E61</f>
        <v>0.19474687675278571</v>
      </c>
      <c r="G61" s="371">
        <f t="shared" ref="G61:J63" si="23">F61</f>
        <v>0.19474687675278571</v>
      </c>
      <c r="H61" s="371">
        <f t="shared" si="23"/>
        <v>0.19474687675278571</v>
      </c>
      <c r="I61" s="371">
        <f t="shared" si="23"/>
        <v>0.19474687675278571</v>
      </c>
      <c r="J61" s="372">
        <f t="shared" si="23"/>
        <v>0.19474687675278571</v>
      </c>
      <c r="K61" s="244" t="s">
        <v>198</v>
      </c>
    </row>
    <row r="62" spans="1:11" ht="15" customHeight="1" x14ac:dyDescent="0.25">
      <c r="A62" s="211" t="s">
        <v>246</v>
      </c>
      <c r="B62" s="325"/>
      <c r="C62" s="216"/>
      <c r="D62" s="230">
        <f>EPS!C9/EPS!B9-1</f>
        <v>-8.1503145348195138E-3</v>
      </c>
      <c r="E62" s="332">
        <f>EPS!D9/EPS!C9-1</f>
        <v>-9.0017413751857234E-3</v>
      </c>
      <c r="F62" s="367">
        <f>E62</f>
        <v>-9.0017413751857234E-3</v>
      </c>
      <c r="G62" s="368">
        <f t="shared" si="23"/>
        <v>-9.0017413751857234E-3</v>
      </c>
      <c r="H62" s="368">
        <f t="shared" si="23"/>
        <v>-9.0017413751857234E-3</v>
      </c>
      <c r="I62" s="368">
        <f t="shared" si="23"/>
        <v>-9.0017413751857234E-3</v>
      </c>
      <c r="J62" s="369">
        <f t="shared" si="23"/>
        <v>-9.0017413751857234E-3</v>
      </c>
      <c r="K62" s="450" t="s">
        <v>242</v>
      </c>
    </row>
    <row r="63" spans="1:11" ht="15" customHeight="1" thickBot="1" x14ac:dyDescent="0.3">
      <c r="A63" s="231" t="s">
        <v>243</v>
      </c>
      <c r="B63" s="236"/>
      <c r="C63" s="447">
        <f>EPS!B11</f>
        <v>291</v>
      </c>
      <c r="D63" s="448">
        <f>EPS!C11</f>
        <v>249</v>
      </c>
      <c r="E63" s="449">
        <f>EPS!D11</f>
        <v>196</v>
      </c>
      <c r="F63" s="452">
        <f>E63</f>
        <v>196</v>
      </c>
      <c r="G63" s="453">
        <f t="shared" si="23"/>
        <v>196</v>
      </c>
      <c r="H63" s="453">
        <f t="shared" si="23"/>
        <v>196</v>
      </c>
      <c r="I63" s="453">
        <f t="shared" si="23"/>
        <v>196</v>
      </c>
      <c r="J63" s="454">
        <f t="shared" si="23"/>
        <v>196</v>
      </c>
      <c r="K63" s="451" t="s">
        <v>247</v>
      </c>
    </row>
    <row r="64" spans="1:11" ht="15" customHeight="1" x14ac:dyDescent="0.25"/>
    <row r="65" spans="1:6" ht="15" customHeight="1" x14ac:dyDescent="0.25"/>
    <row r="66" spans="1:6" ht="15" customHeight="1" x14ac:dyDescent="0.25">
      <c r="A66" s="50" t="s">
        <v>239</v>
      </c>
    </row>
    <row r="67" spans="1:6" ht="15" customHeight="1" x14ac:dyDescent="0.25"/>
    <row r="68" spans="1:6" ht="15" customHeight="1" x14ac:dyDescent="0.25"/>
    <row r="69" spans="1:6" ht="15" customHeight="1" x14ac:dyDescent="0.25">
      <c r="A69" s="50" t="s">
        <v>222</v>
      </c>
      <c r="F69" s="269"/>
    </row>
    <row r="70" spans="1:6" ht="15" customHeight="1" x14ac:dyDescent="0.25">
      <c r="A70" s="50" t="s">
        <v>223</v>
      </c>
      <c r="E70" s="50" t="s">
        <v>224</v>
      </c>
    </row>
    <row r="71" spans="1:6" ht="15" customHeight="1" x14ac:dyDescent="0.25">
      <c r="A71" s="50" t="s">
        <v>236</v>
      </c>
    </row>
    <row r="72" spans="1:6" ht="15" customHeight="1" x14ac:dyDescent="0.25"/>
    <row r="73" spans="1:6" ht="15" customHeight="1" x14ac:dyDescent="0.25">
      <c r="A73" s="50" t="s">
        <v>240</v>
      </c>
    </row>
    <row r="74" spans="1:6" ht="15" customHeight="1" x14ac:dyDescent="0.25">
      <c r="A74" s="50" t="s">
        <v>241</v>
      </c>
    </row>
    <row r="75" spans="1:6" ht="15" customHeight="1" x14ac:dyDescent="0.25"/>
    <row r="76" spans="1:6" ht="15" customHeight="1" x14ac:dyDescent="0.25"/>
    <row r="77" spans="1:6" ht="15" customHeight="1" x14ac:dyDescent="0.25"/>
  </sheetData>
  <mergeCells count="5">
    <mergeCell ref="K4:K5"/>
    <mergeCell ref="K42:K46"/>
    <mergeCell ref="K49:K52"/>
    <mergeCell ref="B5:B16"/>
    <mergeCell ref="C14:C15"/>
  </mergeCells>
  <pageMargins left="0.7" right="0.7" top="0.75" bottom="0.75" header="0.3" footer="0.3"/>
  <pageSetup paperSize="9" orientation="portrait" r:id="rId1"/>
  <ignoredErrors>
    <ignoredError sqref="G6:J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EDF2"/>
  </sheetPr>
  <dimension ref="A1:K26"/>
  <sheetViews>
    <sheetView showGridLines="0" topLeftCell="A7" zoomScaleNormal="100" workbookViewId="0">
      <selection activeCell="C24" sqref="C24"/>
    </sheetView>
  </sheetViews>
  <sheetFormatPr defaultRowHeight="12" x14ac:dyDescent="0.25"/>
  <cols>
    <col min="1" max="1" width="43.5546875" style="3" customWidth="1"/>
    <col min="2" max="2" width="7.33203125" style="3" customWidth="1"/>
    <col min="3" max="8" width="14" style="3" customWidth="1"/>
    <col min="9" max="9" width="13.88671875" style="3" customWidth="1"/>
    <col min="10" max="10" width="14" style="3" customWidth="1"/>
    <col min="11" max="16384" width="8.88671875" style="3"/>
  </cols>
  <sheetData>
    <row r="1" spans="1:11" ht="15" customHeight="1" x14ac:dyDescent="0.25">
      <c r="A1" s="29" t="s">
        <v>90</v>
      </c>
      <c r="B1" s="29"/>
      <c r="C1" s="29"/>
      <c r="D1" s="29"/>
      <c r="E1" s="29"/>
      <c r="F1" s="29"/>
    </row>
    <row r="2" spans="1:11" ht="15.6" customHeight="1" thickBot="1" x14ac:dyDescent="0.3">
      <c r="A2" s="4"/>
      <c r="B2" s="4"/>
      <c r="C2" s="4"/>
      <c r="D2" s="1" t="s">
        <v>1</v>
      </c>
      <c r="E2" s="4"/>
      <c r="F2" s="550" t="s">
        <v>140</v>
      </c>
      <c r="G2" s="550"/>
      <c r="H2" s="550"/>
      <c r="I2" s="550"/>
      <c r="J2" s="550"/>
    </row>
    <row r="3" spans="1:11" ht="15.6" customHeight="1" thickBot="1" x14ac:dyDescent="0.3">
      <c r="A3" s="8"/>
      <c r="B3" s="424" t="s">
        <v>6</v>
      </c>
      <c r="C3" s="425">
        <v>2023</v>
      </c>
      <c r="D3" s="9">
        <v>2024</v>
      </c>
      <c r="E3" s="417">
        <v>2025</v>
      </c>
      <c r="F3" s="156">
        <v>2026</v>
      </c>
      <c r="G3" s="157">
        <v>2027</v>
      </c>
      <c r="H3" s="157">
        <v>2028</v>
      </c>
      <c r="I3" s="157">
        <v>2029</v>
      </c>
      <c r="J3" s="161">
        <v>2030</v>
      </c>
    </row>
    <row r="4" spans="1:11" ht="15.6" customHeight="1" thickBot="1" x14ac:dyDescent="0.3">
      <c r="A4" s="8"/>
      <c r="B4" s="551" t="s">
        <v>2</v>
      </c>
      <c r="C4" s="552"/>
      <c r="D4" s="552"/>
      <c r="E4" s="552"/>
      <c r="F4" s="552"/>
      <c r="G4" s="552"/>
      <c r="H4" s="552"/>
      <c r="I4" s="552"/>
      <c r="J4" s="553"/>
    </row>
    <row r="5" spans="1:11" ht="15.6" customHeight="1" x14ac:dyDescent="0.25">
      <c r="A5" s="20" t="s">
        <v>38</v>
      </c>
      <c r="B5" s="21">
        <v>4</v>
      </c>
      <c r="C5" s="177">
        <v>5970146</v>
      </c>
      <c r="D5" s="177">
        <v>6676668</v>
      </c>
      <c r="E5" s="185">
        <v>7145768</v>
      </c>
      <c r="F5" s="270">
        <f>Assumptions!F4</f>
        <v>7600000</v>
      </c>
      <c r="G5" s="273">
        <f>Assumptions!G4</f>
        <v>7928131.0729283113</v>
      </c>
      <c r="H5" s="273">
        <f>Assumptions!H4</f>
        <v>8270429.2512541339</v>
      </c>
      <c r="I5" s="273">
        <f>Assumptions!I4</f>
        <v>8627506.2017530426</v>
      </c>
      <c r="J5" s="274">
        <f>Assumptions!J4</f>
        <v>9000000</v>
      </c>
    </row>
    <row r="6" spans="1:11" ht="15.6" customHeight="1" x14ac:dyDescent="0.25">
      <c r="A6" s="13" t="s">
        <v>146</v>
      </c>
      <c r="B6" s="14">
        <v>5</v>
      </c>
      <c r="C6" s="175">
        <v>2995877</v>
      </c>
      <c r="D6" s="175">
        <v>3329483</v>
      </c>
      <c r="E6" s="190">
        <v>3452971</v>
      </c>
      <c r="F6" s="271">
        <f>Assumptions!F6</f>
        <v>3672464.5412501497</v>
      </c>
      <c r="G6" s="423">
        <f>Assumptions!G6</f>
        <v>3831023.7162779905</v>
      </c>
      <c r="H6" s="423">
        <f>Assumptions!H6</f>
        <v>3996428.7060722145</v>
      </c>
      <c r="I6" s="423">
        <f>Assumptions!I6</f>
        <v>4168975.0796518167</v>
      </c>
      <c r="J6" s="426">
        <f>Assumptions!J6</f>
        <v>4348971.1672699144</v>
      </c>
    </row>
    <row r="7" spans="1:11" ht="15.6" customHeight="1" x14ac:dyDescent="0.25">
      <c r="A7" s="13" t="s">
        <v>147</v>
      </c>
      <c r="B7" s="14">
        <v>6</v>
      </c>
      <c r="C7" s="175">
        <v>462580</v>
      </c>
      <c r="D7" s="175">
        <v>561144</v>
      </c>
      <c r="E7" s="190">
        <v>642490</v>
      </c>
      <c r="F7" s="271">
        <f>F5*Assumptions!F8</f>
        <v>683330.88899611623</v>
      </c>
      <c r="G7" s="423">
        <f>G5*Assumptions!G8</f>
        <v>712833.79659760999</v>
      </c>
      <c r="H7" s="423">
        <f>H5*Assumptions!H8</f>
        <v>743610.49639986467</v>
      </c>
      <c r="I7" s="423">
        <f>I5*Assumptions!I8</f>
        <v>775715.98456097546</v>
      </c>
      <c r="J7" s="426">
        <f>J5*Assumptions!J8</f>
        <v>809207.6317059272</v>
      </c>
    </row>
    <row r="8" spans="1:11" ht="15.6" customHeight="1" x14ac:dyDescent="0.25">
      <c r="A8" s="13" t="s">
        <v>39</v>
      </c>
      <c r="B8" s="14">
        <v>7</v>
      </c>
      <c r="C8" s="175">
        <v>881559</v>
      </c>
      <c r="D8" s="175">
        <v>894092</v>
      </c>
      <c r="E8" s="190">
        <v>918861</v>
      </c>
      <c r="F8" s="271">
        <f>F5*Assumptions!F9</f>
        <v>977269.84699195379</v>
      </c>
      <c r="G8" s="423">
        <f>G5*Assumptions!G9</f>
        <v>1019463.6106016849</v>
      </c>
      <c r="H8" s="423">
        <f>H5*Assumptions!H9</f>
        <v>1063479.0959119613</v>
      </c>
      <c r="I8" s="423">
        <f>I5*Assumptions!I9</f>
        <v>1109394.9560143852</v>
      </c>
      <c r="J8" s="426">
        <f>J5*Assumptions!J9</f>
        <v>1157293.2398588925</v>
      </c>
    </row>
    <row r="9" spans="1:11" ht="15.6" customHeight="1" x14ac:dyDescent="0.25">
      <c r="A9" s="13" t="s">
        <v>40</v>
      </c>
      <c r="B9" s="14">
        <v>8</v>
      </c>
      <c r="C9" s="175">
        <v>18898</v>
      </c>
      <c r="D9" s="175">
        <v>12443</v>
      </c>
      <c r="E9" s="190">
        <v>34302</v>
      </c>
      <c r="F9" s="271">
        <f>F5*Assumptions!F10</f>
        <v>24901.133096255176</v>
      </c>
      <c r="G9" s="423">
        <f>G5*Assumptions!G10</f>
        <v>25976.243033097922</v>
      </c>
      <c r="H9" s="423">
        <f>H5*Assumptions!H10</f>
        <v>27097.770993242266</v>
      </c>
      <c r="I9" s="423">
        <f>I5*Assumptions!I10</f>
        <v>28267.7210813973</v>
      </c>
      <c r="J9" s="426">
        <f>J5*Assumptions!J10</f>
        <v>29488.183929775863</v>
      </c>
    </row>
    <row r="10" spans="1:11" ht="15.6" customHeight="1" thickBot="1" x14ac:dyDescent="0.3">
      <c r="A10" s="15" t="s">
        <v>41</v>
      </c>
      <c r="B10" s="28"/>
      <c r="C10" s="176">
        <v>6137</v>
      </c>
      <c r="D10" s="176">
        <v>8245</v>
      </c>
      <c r="E10" s="193">
        <v>12572</v>
      </c>
      <c r="F10" s="272">
        <f>Assumptions!F16</f>
        <v>12572</v>
      </c>
      <c r="G10" s="427">
        <f>Assumptions!G16</f>
        <v>12572</v>
      </c>
      <c r="H10" s="427">
        <f>Assumptions!H16</f>
        <v>12572</v>
      </c>
      <c r="I10" s="427">
        <f>Assumptions!I16</f>
        <v>12572</v>
      </c>
      <c r="J10" s="428">
        <f>Assumptions!J16</f>
        <v>12572</v>
      </c>
    </row>
    <row r="11" spans="1:11" ht="15.6" customHeight="1" thickBot="1" x14ac:dyDescent="0.3">
      <c r="A11" s="17" t="s">
        <v>36</v>
      </c>
      <c r="B11" s="18"/>
      <c r="C11" s="19">
        <f>C5-C6-C7-C8-C9+C10</f>
        <v>1617369</v>
      </c>
      <c r="D11" s="19">
        <f t="shared" ref="D11:F11" si="0">D5-D6-D7-D8-D9+D10</f>
        <v>1887751</v>
      </c>
      <c r="E11" s="420">
        <f t="shared" si="0"/>
        <v>2109716</v>
      </c>
      <c r="F11" s="436">
        <f t="shared" si="0"/>
        <v>2254605.5896655247</v>
      </c>
      <c r="G11" s="437">
        <f t="shared" ref="G11" si="1">G5-G6-G7-G8-G9+G10</f>
        <v>2351405.7064179275</v>
      </c>
      <c r="H11" s="437">
        <f t="shared" ref="H11:I11" si="2">H5-H6-H7-H8-H9+H10</f>
        <v>2452385.1818768512</v>
      </c>
      <c r="I11" s="437">
        <f t="shared" si="2"/>
        <v>2557724.4604444681</v>
      </c>
      <c r="J11" s="438">
        <f t="shared" ref="J11" si="3">J5-J6-J7-J8-J9+J10</f>
        <v>2667611.7772354903</v>
      </c>
    </row>
    <row r="12" spans="1:11" ht="15.6" customHeight="1" x14ac:dyDescent="0.25">
      <c r="A12" s="30" t="s">
        <v>42</v>
      </c>
      <c r="B12" s="21">
        <v>9</v>
      </c>
      <c r="C12" s="177">
        <v>132319</v>
      </c>
      <c r="D12" s="177">
        <v>147100</v>
      </c>
      <c r="E12" s="185">
        <v>168145</v>
      </c>
      <c r="F12" s="270">
        <f>Assumptions!F15*('Balance Sheet'!E14+'Balance Sheet'!E18)</f>
        <v>152202.16675930697</v>
      </c>
      <c r="G12" s="273">
        <f>Assumptions!G15*('Balance Sheet'!F14+'Balance Sheet'!F18)</f>
        <v>164465.87162406341</v>
      </c>
      <c r="H12" s="273">
        <f>Assumptions!H15*('Balance Sheet'!G14+'Balance Sheet'!G18)</f>
        <v>178739.631808779</v>
      </c>
      <c r="I12" s="273">
        <f>Assumptions!I15*('Balance Sheet'!H14+'Balance Sheet'!H18)</f>
        <v>197382.08245320941</v>
      </c>
      <c r="J12" s="274">
        <f>Assumptions!J15*('Balance Sheet'!I14+'Balance Sheet'!I18)</f>
        <v>220702.08275800484</v>
      </c>
      <c r="K12" s="3" t="s">
        <v>216</v>
      </c>
    </row>
    <row r="13" spans="1:11" ht="15.6" customHeight="1" x14ac:dyDescent="0.25">
      <c r="A13" s="31" t="s">
        <v>43</v>
      </c>
      <c r="B13" s="14">
        <v>9</v>
      </c>
      <c r="C13" s="175">
        <v>147334</v>
      </c>
      <c r="D13" s="175">
        <v>145895</v>
      </c>
      <c r="E13" s="190">
        <v>214226</v>
      </c>
      <c r="F13" s="271">
        <f>Assumptions!F14*('Balance Sheet'!E30)</f>
        <v>184336.38406772539</v>
      </c>
      <c r="G13" s="423">
        <f>Assumptions!G14*('Balance Sheet'!F30)</f>
        <v>184336.38406772539</v>
      </c>
      <c r="H13" s="423">
        <f>Assumptions!H14*('Balance Sheet'!G30)</f>
        <v>184336.38406772539</v>
      </c>
      <c r="I13" s="423">
        <f>Assumptions!I14*('Balance Sheet'!H30)</f>
        <v>184336.38406772539</v>
      </c>
      <c r="J13" s="426">
        <f>Assumptions!J14*('Balance Sheet'!I30)</f>
        <v>184336.38406772539</v>
      </c>
    </row>
    <row r="14" spans="1:11" ht="15.6" customHeight="1" thickBot="1" x14ac:dyDescent="0.3">
      <c r="A14" s="15" t="s">
        <v>44</v>
      </c>
      <c r="B14" s="16">
        <v>9</v>
      </c>
      <c r="C14" s="176">
        <v>15015</v>
      </c>
      <c r="D14" s="198">
        <v>-1205</v>
      </c>
      <c r="E14" s="193">
        <v>46081</v>
      </c>
      <c r="F14" s="272">
        <f>F13-F12</f>
        <v>32134.217308418418</v>
      </c>
      <c r="G14" s="427">
        <f t="shared" ref="G14:J14" si="4">G13-G12</f>
        <v>19870.512443661981</v>
      </c>
      <c r="H14" s="427">
        <f t="shared" si="4"/>
        <v>5596.7522589463915</v>
      </c>
      <c r="I14" s="427">
        <f t="shared" si="4"/>
        <v>-13045.698385484022</v>
      </c>
      <c r="J14" s="428">
        <f t="shared" si="4"/>
        <v>-36365.698690279445</v>
      </c>
    </row>
    <row r="15" spans="1:11" ht="15.6" customHeight="1" thickBot="1" x14ac:dyDescent="0.3">
      <c r="A15" s="429" t="s">
        <v>37</v>
      </c>
      <c r="B15" s="430"/>
      <c r="C15" s="19">
        <f>C11-C13+C12</f>
        <v>1602354</v>
      </c>
      <c r="D15" s="19">
        <f t="shared" ref="D15:J15" si="5">D11-D13+D12</f>
        <v>1888956</v>
      </c>
      <c r="E15" s="420">
        <f t="shared" si="5"/>
        <v>2063635</v>
      </c>
      <c r="F15" s="436">
        <f t="shared" si="5"/>
        <v>2222471.3723571063</v>
      </c>
      <c r="G15" s="437">
        <f t="shared" si="5"/>
        <v>2331535.1939742654</v>
      </c>
      <c r="H15" s="437">
        <f t="shared" si="5"/>
        <v>2446788.4296179051</v>
      </c>
      <c r="I15" s="437">
        <f t="shared" si="5"/>
        <v>2570770.1588299521</v>
      </c>
      <c r="J15" s="438">
        <f t="shared" si="5"/>
        <v>2703977.4759257697</v>
      </c>
    </row>
    <row r="16" spans="1:11" ht="15.6" customHeight="1" thickBot="1" x14ac:dyDescent="0.3">
      <c r="A16" s="32" t="s">
        <v>45</v>
      </c>
      <c r="B16" s="27">
        <v>10</v>
      </c>
      <c r="C16" s="200">
        <v>344897</v>
      </c>
      <c r="D16" s="200">
        <v>363043</v>
      </c>
      <c r="E16" s="431">
        <v>464119</v>
      </c>
      <c r="F16" s="275">
        <f>F15*Assumptions!F12</f>
        <v>511168.4156421345</v>
      </c>
      <c r="G16" s="432">
        <f>G15*Assumptions!G12</f>
        <v>536253.09461408108</v>
      </c>
      <c r="H16" s="432">
        <f>H15*Assumptions!H12</f>
        <v>562761.33881211816</v>
      </c>
      <c r="I16" s="432">
        <f>I15*Assumptions!I12</f>
        <v>591277.13653088897</v>
      </c>
      <c r="J16" s="433">
        <f>J15*Assumptions!J12</f>
        <v>621914.81946292706</v>
      </c>
    </row>
    <row r="17" spans="1:10" ht="15.6" customHeight="1" thickBot="1" x14ac:dyDescent="0.3">
      <c r="A17" s="22" t="s">
        <v>50</v>
      </c>
      <c r="B17" s="23"/>
      <c r="C17" s="19">
        <f>C15-C16</f>
        <v>1257457</v>
      </c>
      <c r="D17" s="19">
        <f t="shared" ref="D17:F17" si="6">D15-D16</f>
        <v>1525913</v>
      </c>
      <c r="E17" s="420">
        <f t="shared" si="6"/>
        <v>1599516</v>
      </c>
      <c r="F17" s="436">
        <f t="shared" si="6"/>
        <v>1711302.9567149719</v>
      </c>
      <c r="G17" s="437">
        <f t="shared" ref="G17" si="7">G15-G16</f>
        <v>1795282.0993601843</v>
      </c>
      <c r="H17" s="437">
        <f t="shared" ref="H17:I17" si="8">H15-H16</f>
        <v>1884027.0908057869</v>
      </c>
      <c r="I17" s="437">
        <f t="shared" si="8"/>
        <v>1979493.0222990632</v>
      </c>
      <c r="J17" s="438">
        <f t="shared" ref="J17" si="9">J15-J16</f>
        <v>2082062.6564628426</v>
      </c>
    </row>
    <row r="18" spans="1:10" ht="15.6" customHeight="1" x14ac:dyDescent="0.25">
      <c r="A18" s="33" t="s">
        <v>46</v>
      </c>
      <c r="B18" s="26"/>
      <c r="C18" s="42"/>
      <c r="D18" s="12"/>
      <c r="E18" s="421"/>
      <c r="F18" s="270"/>
      <c r="G18" s="273"/>
      <c r="H18" s="273"/>
      <c r="I18" s="273"/>
      <c r="J18" s="274"/>
    </row>
    <row r="19" spans="1:10" ht="15.6" customHeight="1" x14ac:dyDescent="0.25">
      <c r="A19" s="31" t="s">
        <v>47</v>
      </c>
      <c r="B19" s="34"/>
      <c r="C19" s="175">
        <v>1252048</v>
      </c>
      <c r="D19" s="175">
        <v>1521877</v>
      </c>
      <c r="E19" s="190">
        <v>1596919</v>
      </c>
      <c r="F19" s="271">
        <f>F17-F20</f>
        <v>1708524.4576073738</v>
      </c>
      <c r="G19" s="423">
        <f t="shared" ref="G19:J19" si="10">G17-G20</f>
        <v>1792367.2503608379</v>
      </c>
      <c r="H19" s="423">
        <f t="shared" si="10"/>
        <v>1880968.1540056407</v>
      </c>
      <c r="I19" s="423">
        <f t="shared" si="10"/>
        <v>1976279.0854713535</v>
      </c>
      <c r="J19" s="426">
        <f t="shared" si="10"/>
        <v>2078682.1859212324</v>
      </c>
    </row>
    <row r="20" spans="1:10" ht="15.6" customHeight="1" thickBot="1" x14ac:dyDescent="0.3">
      <c r="A20" s="35" t="s">
        <v>25</v>
      </c>
      <c r="B20" s="16">
        <v>3</v>
      </c>
      <c r="C20" s="176">
        <v>5409</v>
      </c>
      <c r="D20" s="176">
        <v>4036</v>
      </c>
      <c r="E20" s="193">
        <v>2597</v>
      </c>
      <c r="F20" s="272">
        <f>F17*Assumptions!F13</f>
        <v>2778.499107598037</v>
      </c>
      <c r="G20" s="427">
        <f>G17*Assumptions!G13</f>
        <v>2914.8489993463013</v>
      </c>
      <c r="H20" s="427">
        <f>H17*Assumptions!H13</f>
        <v>3058.9368001461871</v>
      </c>
      <c r="I20" s="427">
        <f>I17*Assumptions!I13</f>
        <v>3213.9368277095491</v>
      </c>
      <c r="J20" s="428">
        <f>J17*Assumptions!J13</f>
        <v>3380.4705416100883</v>
      </c>
    </row>
    <row r="21" spans="1:10" ht="8.4" customHeight="1" thickBot="1" x14ac:dyDescent="0.3">
      <c r="A21" s="581"/>
      <c r="B21" s="582"/>
      <c r="C21" s="582"/>
      <c r="D21" s="582"/>
      <c r="E21" s="582"/>
      <c r="F21" s="582"/>
      <c r="G21" s="582"/>
      <c r="H21" s="582"/>
      <c r="I21" s="582"/>
      <c r="J21" s="583"/>
    </row>
    <row r="22" spans="1:10" ht="15.6" customHeight="1" thickBot="1" x14ac:dyDescent="0.3">
      <c r="A22" s="17" t="s">
        <v>48</v>
      </c>
      <c r="B22" s="36">
        <v>12</v>
      </c>
      <c r="C22" s="434">
        <f>EPS!B13</f>
        <v>6.9089945922083658</v>
      </c>
      <c r="D22" s="434">
        <f>EPS!C13</f>
        <v>8.4669611612135096</v>
      </c>
      <c r="E22" s="434">
        <f>EPS!D13</f>
        <v>8.9651592982456147</v>
      </c>
      <c r="F22" s="439">
        <f>EPS!E13</f>
        <v>9.6788426919584971</v>
      </c>
      <c r="G22" s="439">
        <f>EPS!F13</f>
        <v>10.246046911443667</v>
      </c>
      <c r="H22" s="439">
        <f>EPS!G13</f>
        <v>10.850203692497951</v>
      </c>
      <c r="I22" s="439">
        <f>EPS!H13</f>
        <v>11.503548606784426</v>
      </c>
      <c r="J22" s="440">
        <f>EPS!I13</f>
        <v>12.209524765768554</v>
      </c>
    </row>
    <row r="23" spans="1:10" ht="15.6" customHeight="1" thickBot="1" x14ac:dyDescent="0.3">
      <c r="A23" s="17" t="s">
        <v>49</v>
      </c>
      <c r="B23" s="36">
        <v>12</v>
      </c>
      <c r="C23" s="434">
        <f>EPS!B5</f>
        <v>6.8979180325159355</v>
      </c>
      <c r="D23" s="434">
        <f>EPS!C5</f>
        <v>8.4552480110227126</v>
      </c>
      <c r="E23" s="434">
        <f>EPS!D5</f>
        <v>8.9553053201810222</v>
      </c>
      <c r="F23" s="439">
        <f>EPS!E5</f>
        <v>9.668107747927424</v>
      </c>
      <c r="G23" s="439">
        <f>EPS!F5</f>
        <v>10.234579763216686</v>
      </c>
      <c r="H23" s="439">
        <f>EPS!G5</f>
        <v>10.837950206148006</v>
      </c>
      <c r="I23" s="439">
        <f>EPS!H5</f>
        <v>11.49043940448693</v>
      </c>
      <c r="J23" s="440">
        <f>EPS!I5</f>
        <v>12.195484807827489</v>
      </c>
    </row>
    <row r="24" spans="1:10" ht="22.05" customHeight="1" x14ac:dyDescent="0.25">
      <c r="A24" s="37"/>
      <c r="B24" s="37"/>
      <c r="C24" s="37"/>
      <c r="D24" s="37"/>
      <c r="E24" s="37"/>
      <c r="F24" s="2"/>
    </row>
    <row r="26" spans="1:10" x14ac:dyDescent="0.25">
      <c r="C26" s="253"/>
      <c r="D26" s="253"/>
      <c r="E26" s="253"/>
    </row>
  </sheetData>
  <mergeCells count="2">
    <mergeCell ref="F2:J2"/>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6EDF2"/>
  </sheetPr>
  <dimension ref="A1:K40"/>
  <sheetViews>
    <sheetView showGridLines="0" topLeftCell="B1" zoomScaleNormal="100" workbookViewId="0">
      <selection activeCell="H18" sqref="H18"/>
    </sheetView>
  </sheetViews>
  <sheetFormatPr defaultRowHeight="12" x14ac:dyDescent="0.25"/>
  <cols>
    <col min="1" max="1" width="40.21875" style="3" customWidth="1"/>
    <col min="2" max="2" width="8.21875" style="3" customWidth="1"/>
    <col min="3" max="4" width="14" style="3" customWidth="1"/>
    <col min="5" max="5" width="14.109375" style="3" customWidth="1"/>
    <col min="6" max="10" width="14" style="3" customWidth="1"/>
    <col min="11" max="16384" width="8.88671875" style="3"/>
  </cols>
  <sheetData>
    <row r="1" spans="1:10" ht="22.2" customHeight="1" thickBot="1" x14ac:dyDescent="0.3">
      <c r="A1" s="1" t="s">
        <v>5</v>
      </c>
      <c r="B1" s="2"/>
      <c r="C1" s="2"/>
      <c r="D1" s="2"/>
      <c r="E1" s="2"/>
    </row>
    <row r="2" spans="1:10" ht="16.05" customHeight="1" thickBot="1" x14ac:dyDescent="0.3">
      <c r="A2" s="250"/>
      <c r="B2" s="554" t="s">
        <v>4</v>
      </c>
      <c r="C2" s="555"/>
      <c r="D2" s="555"/>
      <c r="E2" s="556"/>
      <c r="F2" s="557" t="s">
        <v>140</v>
      </c>
      <c r="G2" s="558"/>
      <c r="H2" s="558"/>
      <c r="I2" s="558"/>
      <c r="J2" s="559"/>
    </row>
    <row r="3" spans="1:10" ht="16.05" customHeight="1" thickBot="1" x14ac:dyDescent="0.3">
      <c r="A3" s="251"/>
      <c r="B3" s="5" t="s">
        <v>6</v>
      </c>
      <c r="C3" s="9">
        <v>2023</v>
      </c>
      <c r="D3" s="9">
        <v>2024</v>
      </c>
      <c r="E3" s="417">
        <v>2025</v>
      </c>
      <c r="F3" s="156">
        <v>2026</v>
      </c>
      <c r="G3" s="157">
        <v>2027</v>
      </c>
      <c r="H3" s="157">
        <v>2028</v>
      </c>
      <c r="I3" s="157">
        <v>2029</v>
      </c>
      <c r="J3" s="161">
        <v>2030</v>
      </c>
    </row>
    <row r="4" spans="1:10" ht="16.05" customHeight="1" thickBot="1" x14ac:dyDescent="0.3">
      <c r="A4" s="8"/>
      <c r="B4" s="551" t="s">
        <v>2</v>
      </c>
      <c r="C4" s="552"/>
      <c r="D4" s="552"/>
      <c r="E4" s="552"/>
      <c r="F4" s="552"/>
      <c r="G4" s="552"/>
      <c r="H4" s="552"/>
      <c r="I4" s="552"/>
      <c r="J4" s="553"/>
    </row>
    <row r="5" spans="1:10" ht="15.75" customHeight="1" x14ac:dyDescent="0.25">
      <c r="A5" s="10" t="s">
        <v>7</v>
      </c>
      <c r="B5" s="11"/>
      <c r="C5" s="42"/>
      <c r="D5" s="42"/>
      <c r="E5" s="418"/>
      <c r="F5" s="278"/>
      <c r="G5" s="279"/>
      <c r="H5" s="279"/>
      <c r="I5" s="279"/>
      <c r="J5" s="280"/>
    </row>
    <row r="6" spans="1:10" ht="16.05" customHeight="1" x14ac:dyDescent="0.25">
      <c r="A6" s="13" t="s">
        <v>8</v>
      </c>
      <c r="B6" s="14">
        <v>13</v>
      </c>
      <c r="C6" s="175">
        <v>785182</v>
      </c>
      <c r="D6" s="175">
        <v>785182</v>
      </c>
      <c r="E6" s="190">
        <v>785182</v>
      </c>
      <c r="F6" s="276">
        <f>E6</f>
        <v>785182</v>
      </c>
      <c r="G6" s="416">
        <f t="shared" ref="G6:J6" si="0">F6</f>
        <v>785182</v>
      </c>
      <c r="H6" s="416">
        <f t="shared" si="0"/>
        <v>785182</v>
      </c>
      <c r="I6" s="416">
        <f t="shared" si="0"/>
        <v>785182</v>
      </c>
      <c r="J6" s="419">
        <f t="shared" si="0"/>
        <v>785182</v>
      </c>
    </row>
    <row r="7" spans="1:10" ht="16.05" customHeight="1" x14ac:dyDescent="0.25">
      <c r="A7" s="13" t="s">
        <v>9</v>
      </c>
      <c r="B7" s="14">
        <v>14</v>
      </c>
      <c r="C7" s="175">
        <v>1419699</v>
      </c>
      <c r="D7" s="175">
        <v>1545664</v>
      </c>
      <c r="E7" s="190">
        <v>1638457</v>
      </c>
      <c r="F7" s="281">
        <f>E7+Assumptions!F31*Assumptions!F34-Assumptions!F32*Assumptions!F37</f>
        <v>1675848.4623249064</v>
      </c>
      <c r="G7" s="390">
        <f>F7+Assumptions!G31*Assumptions!G34-Assumptions!G32*Assumptions!G37</f>
        <v>1696405.774381059</v>
      </c>
      <c r="H7" s="390">
        <f>G7+Assumptions!H31*Assumptions!H34-Assumptions!H32*Assumptions!H37</f>
        <v>1699402.1193540471</v>
      </c>
      <c r="I7" s="390">
        <f>H7+Assumptions!I31*Assumptions!I34-Assumptions!I32*Assumptions!I37</f>
        <v>1684079.3000108893</v>
      </c>
      <c r="J7" s="401">
        <f>I7+Assumptions!J31*Assumptions!J34-Assumptions!J32*Assumptions!J37</f>
        <v>1649646.383846032</v>
      </c>
    </row>
    <row r="8" spans="1:10" ht="16.05" customHeight="1" x14ac:dyDescent="0.25">
      <c r="A8" s="13" t="s">
        <v>10</v>
      </c>
      <c r="B8" s="14">
        <v>15</v>
      </c>
      <c r="C8" s="175">
        <v>1575200</v>
      </c>
      <c r="D8" s="175">
        <v>1828784</v>
      </c>
      <c r="E8" s="190">
        <v>2057891</v>
      </c>
      <c r="F8" s="281">
        <f>E8+Assumptions!F31*(Assumptions!F35)-Assumptions!F32*Assumptions!F38</f>
        <v>2189899.5376750934</v>
      </c>
      <c r="G8" s="390">
        <f>F8+Assumptions!G31*(Assumptions!G35)-Assumptions!G32*Assumptions!G38</f>
        <v>2308061.9703001441</v>
      </c>
      <c r="H8" s="390">
        <f>G8+Assumptions!H31*(Assumptions!H35)-Assumptions!H32*Assumptions!H38</f>
        <v>2411780.4903348945</v>
      </c>
      <c r="I8" s="390">
        <f>H8+Assumptions!I31*(Assumptions!I35)-Assumptions!I32*Assumptions!I38</f>
        <v>2500431.4798141425</v>
      </c>
      <c r="J8" s="401">
        <f>I8+Assumptions!J31*(Assumptions!J35)-Assumptions!J32*Assumptions!J38</f>
        <v>2573364.3959789998</v>
      </c>
    </row>
    <row r="9" spans="1:10" ht="16.05" customHeight="1" x14ac:dyDescent="0.25">
      <c r="A9" s="13" t="s">
        <v>11</v>
      </c>
      <c r="B9" s="14">
        <v>16</v>
      </c>
      <c r="C9" s="175">
        <v>67671</v>
      </c>
      <c r="D9" s="175">
        <v>80822</v>
      </c>
      <c r="E9" s="190">
        <v>96444</v>
      </c>
      <c r="F9" s="281">
        <f>E9+'Income Statement'!F10</f>
        <v>109016</v>
      </c>
      <c r="G9" s="390">
        <f>F9+'Income Statement'!G10</f>
        <v>121588</v>
      </c>
      <c r="H9" s="390">
        <f>G9+'Income Statement'!H10</f>
        <v>134160</v>
      </c>
      <c r="I9" s="390">
        <f>H9+'Income Statement'!I10</f>
        <v>146732</v>
      </c>
      <c r="J9" s="401">
        <f>I9+'Income Statement'!J10</f>
        <v>159304</v>
      </c>
    </row>
    <row r="10" spans="1:10" ht="16.2" customHeight="1" thickBot="1" x14ac:dyDescent="0.3">
      <c r="A10" s="15" t="s">
        <v>12</v>
      </c>
      <c r="B10" s="16">
        <v>10</v>
      </c>
      <c r="C10" s="176">
        <v>217553</v>
      </c>
      <c r="D10" s="176">
        <v>236791</v>
      </c>
      <c r="E10" s="193">
        <v>226005</v>
      </c>
      <c r="F10" s="282">
        <f>E10</f>
        <v>226005</v>
      </c>
      <c r="G10" s="283">
        <f t="shared" ref="G10:J10" si="1">F10</f>
        <v>226005</v>
      </c>
      <c r="H10" s="283">
        <f t="shared" si="1"/>
        <v>226005</v>
      </c>
      <c r="I10" s="283">
        <f t="shared" si="1"/>
        <v>226005</v>
      </c>
      <c r="J10" s="284">
        <f t="shared" si="1"/>
        <v>226005</v>
      </c>
    </row>
    <row r="11" spans="1:10" ht="15.75" customHeight="1" thickBot="1" x14ac:dyDescent="0.3">
      <c r="A11" s="17" t="s">
        <v>13</v>
      </c>
      <c r="B11" s="18"/>
      <c r="C11" s="19">
        <f>SUM(C6:C10)</f>
        <v>4065305</v>
      </c>
      <c r="D11" s="19">
        <f t="shared" ref="D11:F11" si="2">SUM(D6:D10)</f>
        <v>4477243</v>
      </c>
      <c r="E11" s="420">
        <f t="shared" si="2"/>
        <v>4803979</v>
      </c>
      <c r="F11" s="441">
        <f t="shared" si="2"/>
        <v>4985951</v>
      </c>
      <c r="G11" s="442">
        <f t="shared" ref="G11" si="3">SUM(G6:G10)</f>
        <v>5137242.7446812037</v>
      </c>
      <c r="H11" s="442">
        <f t="shared" ref="H11:I11" si="4">SUM(H6:H10)</f>
        <v>5256529.6096889414</v>
      </c>
      <c r="I11" s="442">
        <f t="shared" si="4"/>
        <v>5342429.7798250318</v>
      </c>
      <c r="J11" s="443">
        <f t="shared" ref="J11" si="5">SUM(J6:J10)</f>
        <v>5393501.7798250318</v>
      </c>
    </row>
    <row r="12" spans="1:10" ht="16.05" customHeight="1" x14ac:dyDescent="0.25">
      <c r="A12" s="20" t="s">
        <v>14</v>
      </c>
      <c r="B12" s="21">
        <v>17</v>
      </c>
      <c r="C12" s="177">
        <v>948514</v>
      </c>
      <c r="D12" s="177">
        <v>1088194</v>
      </c>
      <c r="E12" s="185">
        <v>1113904</v>
      </c>
      <c r="F12" s="278">
        <f>Assumptions!F23</f>
        <v>1182576.5559862864</v>
      </c>
      <c r="G12" s="279">
        <f>Assumptions!G23</f>
        <v>1233634.4657409769</v>
      </c>
      <c r="H12" s="279">
        <f>Assumptions!H23</f>
        <v>1286896.807957415</v>
      </c>
      <c r="I12" s="279">
        <f>Assumptions!I23</f>
        <v>1342458.7593183471</v>
      </c>
      <c r="J12" s="280">
        <f>Assumptions!J23</f>
        <v>1400419.6057732338</v>
      </c>
    </row>
    <row r="13" spans="1:10" ht="16.05" customHeight="1" x14ac:dyDescent="0.25">
      <c r="A13" s="13" t="s">
        <v>15</v>
      </c>
      <c r="B13" s="14">
        <v>18</v>
      </c>
      <c r="C13" s="175">
        <v>261380</v>
      </c>
      <c r="D13" s="175">
        <v>349176</v>
      </c>
      <c r="E13" s="190">
        <v>360339</v>
      </c>
      <c r="F13" s="281">
        <f>Assumptions!F25</f>
        <v>371148.60049918928</v>
      </c>
      <c r="G13" s="390">
        <f>Assumptions!G25</f>
        <v>387172.99372256303</v>
      </c>
      <c r="H13" s="390">
        <f>Assumptions!H25</f>
        <v>403889.24238559604</v>
      </c>
      <c r="I13" s="390">
        <f>Assumptions!I25</f>
        <v>421327.21744456823</v>
      </c>
      <c r="J13" s="401">
        <f>Assumptions!J25</f>
        <v>439518.07953851367</v>
      </c>
    </row>
    <row r="14" spans="1:10" ht="16.05" customHeight="1" x14ac:dyDescent="0.25">
      <c r="A14" s="13" t="s">
        <v>16</v>
      </c>
      <c r="B14" s="14">
        <v>18</v>
      </c>
      <c r="C14" s="175">
        <v>1451158</v>
      </c>
      <c r="D14" s="175">
        <v>1661632</v>
      </c>
      <c r="E14" s="190">
        <v>1613396</v>
      </c>
      <c r="F14" s="281">
        <f>Assumptions!F28*Assumptions!F4</f>
        <v>1715954.0584021199</v>
      </c>
      <c r="G14" s="390">
        <f>Assumptions!G28*Assumptions!G4</f>
        <v>1790040.6171230644</v>
      </c>
      <c r="H14" s="390">
        <f>Assumptions!H28*Assumptions!H4</f>
        <v>1867325.873475939</v>
      </c>
      <c r="I14" s="390">
        <f>Assumptions!I28*Assumptions!I4</f>
        <v>1947947.9316825778</v>
      </c>
      <c r="J14" s="401">
        <f>Assumptions!J28*Assumptions!J4</f>
        <v>2032050.8586340894</v>
      </c>
    </row>
    <row r="15" spans="1:10" ht="16.05" customHeight="1" x14ac:dyDescent="0.25">
      <c r="A15" s="13" t="s">
        <v>17</v>
      </c>
      <c r="B15" s="14">
        <v>18</v>
      </c>
      <c r="C15" s="175">
        <v>11616</v>
      </c>
      <c r="D15" s="175">
        <v>15918</v>
      </c>
      <c r="E15" s="190">
        <v>31715</v>
      </c>
      <c r="F15" s="281">
        <f>E15</f>
        <v>31715</v>
      </c>
      <c r="G15" s="390">
        <f t="shared" ref="G15:J15" si="6">F15</f>
        <v>31715</v>
      </c>
      <c r="H15" s="390">
        <f t="shared" si="6"/>
        <v>31715</v>
      </c>
      <c r="I15" s="390">
        <f t="shared" si="6"/>
        <v>31715</v>
      </c>
      <c r="J15" s="401">
        <f t="shared" si="6"/>
        <v>31715</v>
      </c>
    </row>
    <row r="16" spans="1:10" ht="16.05" customHeight="1" x14ac:dyDescent="0.25">
      <c r="A16" s="13" t="s">
        <v>18</v>
      </c>
      <c r="B16" s="14">
        <v>18</v>
      </c>
      <c r="C16" s="175">
        <v>130228</v>
      </c>
      <c r="D16" s="175">
        <v>137763</v>
      </c>
      <c r="E16" s="190">
        <v>159223</v>
      </c>
      <c r="F16" s="281">
        <f>Assumptions!F60*Assumptions!F4</f>
        <v>163979.72065467213</v>
      </c>
      <c r="G16" s="390">
        <f>Assumptions!G60*Assumptions!G4</f>
        <v>171059.56824373823</v>
      </c>
      <c r="H16" s="390">
        <f>Assumptions!H60*Assumptions!H4</f>
        <v>178445.08925195815</v>
      </c>
      <c r="I16" s="390">
        <f>Assumptions!I60*Assumptions!I4</f>
        <v>186149.48117235728</v>
      </c>
      <c r="J16" s="401">
        <f>Assumptions!J60*Assumptions!J4</f>
        <v>194186.51130158541</v>
      </c>
    </row>
    <row r="17" spans="1:11" ht="16.05" customHeight="1" x14ac:dyDescent="0.25">
      <c r="A17" s="13" t="s">
        <v>19</v>
      </c>
      <c r="B17" s="14">
        <v>19</v>
      </c>
      <c r="C17" s="175">
        <v>61130</v>
      </c>
      <c r="D17" s="175">
        <v>25006</v>
      </c>
      <c r="E17" s="190">
        <v>78085</v>
      </c>
      <c r="F17" s="281">
        <f>E17</f>
        <v>78085</v>
      </c>
      <c r="G17" s="390">
        <f t="shared" ref="G17:J17" si="7">F17</f>
        <v>78085</v>
      </c>
      <c r="H17" s="390">
        <f t="shared" si="7"/>
        <v>78085</v>
      </c>
      <c r="I17" s="390">
        <f t="shared" si="7"/>
        <v>78085</v>
      </c>
      <c r="J17" s="401">
        <f t="shared" si="7"/>
        <v>78085</v>
      </c>
    </row>
    <row r="18" spans="1:11" ht="16.2" customHeight="1" thickBot="1" x14ac:dyDescent="0.3">
      <c r="A18" s="15" t="s">
        <v>20</v>
      </c>
      <c r="B18" s="16">
        <v>32</v>
      </c>
      <c r="C18" s="176">
        <v>1121981</v>
      </c>
      <c r="D18" s="176">
        <v>1742214</v>
      </c>
      <c r="E18" s="193">
        <v>1467711</v>
      </c>
      <c r="F18" s="282">
        <f>'Cash Flow Statement'!F48</f>
        <v>1613413.4474058533</v>
      </c>
      <c r="G18" s="283">
        <f>'Cash Flow Statement'!G48</f>
        <v>1828277.9815494218</v>
      </c>
      <c r="H18" s="283">
        <f>'Cash Flow Statement'!H48</f>
        <v>2128381.4733379837</v>
      </c>
      <c r="I18" s="283">
        <f>'Cash Flow Statement'!I48</f>
        <v>2519838.2147238189</v>
      </c>
      <c r="J18" s="284">
        <f>'Cash Flow Statement'!J48</f>
        <v>3008420.4742368311</v>
      </c>
      <c r="K18" s="3" t="s">
        <v>267</v>
      </c>
    </row>
    <row r="19" spans="1:11" ht="16.05" customHeight="1" thickBot="1" x14ac:dyDescent="0.3">
      <c r="A19" s="22" t="s">
        <v>21</v>
      </c>
      <c r="B19" s="23"/>
      <c r="C19" s="19">
        <f>SUM(C12:C18)</f>
        <v>3986007</v>
      </c>
      <c r="D19" s="19">
        <f t="shared" ref="D19:J19" si="8">SUM(D12:D18)</f>
        <v>5019903</v>
      </c>
      <c r="E19" s="420">
        <f t="shared" si="8"/>
        <v>4824373</v>
      </c>
      <c r="F19" s="441">
        <f t="shared" si="8"/>
        <v>5156872.3829481211</v>
      </c>
      <c r="G19" s="442">
        <f t="shared" si="8"/>
        <v>5519985.6263797637</v>
      </c>
      <c r="H19" s="442">
        <f t="shared" si="8"/>
        <v>5974738.4864088921</v>
      </c>
      <c r="I19" s="442">
        <f t="shared" si="8"/>
        <v>6527521.604341669</v>
      </c>
      <c r="J19" s="443">
        <f t="shared" si="8"/>
        <v>7184395.5294842534</v>
      </c>
    </row>
    <row r="20" spans="1:11" ht="16.05" customHeight="1" thickBot="1" x14ac:dyDescent="0.3">
      <c r="A20" s="22" t="s">
        <v>22</v>
      </c>
      <c r="B20" s="23"/>
      <c r="C20" s="19">
        <f>C19+C11</f>
        <v>8051312</v>
      </c>
      <c r="D20" s="19">
        <f t="shared" ref="D20:J20" si="9">D19+D11</f>
        <v>9497146</v>
      </c>
      <c r="E20" s="420">
        <f t="shared" si="9"/>
        <v>9628352</v>
      </c>
      <c r="F20" s="441">
        <f t="shared" si="9"/>
        <v>10142823.382948121</v>
      </c>
      <c r="G20" s="442">
        <f t="shared" si="9"/>
        <v>10657228.371060967</v>
      </c>
      <c r="H20" s="442">
        <f t="shared" si="9"/>
        <v>11231268.096097834</v>
      </c>
      <c r="I20" s="442">
        <f t="shared" si="9"/>
        <v>11869951.384166701</v>
      </c>
      <c r="J20" s="443">
        <f t="shared" si="9"/>
        <v>12577897.309309285</v>
      </c>
    </row>
    <row r="21" spans="1:11" ht="8.4" customHeight="1" thickBot="1" x14ac:dyDescent="0.3">
      <c r="A21" s="24"/>
      <c r="B21" s="25"/>
      <c r="C21" s="25"/>
      <c r="D21" s="25"/>
      <c r="F21" s="285"/>
      <c r="G21" s="285"/>
      <c r="H21" s="285"/>
      <c r="I21" s="285"/>
      <c r="J21" s="285"/>
    </row>
    <row r="22" spans="1:11" ht="15.75" customHeight="1" x14ac:dyDescent="0.25">
      <c r="A22" s="10" t="s">
        <v>23</v>
      </c>
      <c r="B22" s="26"/>
      <c r="C22" s="12"/>
      <c r="D22" s="12"/>
      <c r="E22" s="421"/>
      <c r="F22" s="278"/>
      <c r="G22" s="279"/>
      <c r="H22" s="279"/>
      <c r="I22" s="279"/>
      <c r="J22" s="280"/>
    </row>
    <row r="23" spans="1:11" ht="16.05" customHeight="1" x14ac:dyDescent="0.25">
      <c r="A23" s="13" t="s">
        <v>24</v>
      </c>
      <c r="B23" s="34"/>
      <c r="C23" s="175">
        <v>3060888</v>
      </c>
      <c r="D23" s="175">
        <v>3533946</v>
      </c>
      <c r="E23" s="190">
        <v>3906893</v>
      </c>
      <c r="F23" s="281">
        <f>E23+'Income Statement'!F19-Assumptions!F58-Assumptions!F57*'Income Statement'!E19</f>
        <v>4276649.857607374</v>
      </c>
      <c r="G23" s="390">
        <f>F23+'Income Statement'!G19-Assumptions!G58-Assumptions!G57*'Income Statement'!F19</f>
        <v>4685607.3249252625</v>
      </c>
      <c r="H23" s="390">
        <f>G23+'Income Statement'!H19-Assumptions!H58-Assumptions!H57*'Income Statement'!G19</f>
        <v>5149628.5787865687</v>
      </c>
      <c r="I23" s="390">
        <f>H23+'Income Statement'!I19-Assumptions!I58-Assumptions!I57*'Income Statement'!H19</f>
        <v>5673520.4026556658</v>
      </c>
      <c r="J23" s="401">
        <f>I23+'Income Statement'!J19-Assumptions!J58-Assumptions!J57*'Income Statement'!I19</f>
        <v>6261690.9543883568</v>
      </c>
    </row>
    <row r="24" spans="1:11" ht="16.05" customHeight="1" thickBot="1" x14ac:dyDescent="0.3">
      <c r="A24" s="15" t="s">
        <v>25</v>
      </c>
      <c r="B24" s="16">
        <v>3</v>
      </c>
      <c r="C24" s="176">
        <v>9734</v>
      </c>
      <c r="D24" s="176">
        <v>9292</v>
      </c>
      <c r="E24" s="193">
        <v>7849</v>
      </c>
      <c r="F24" s="282">
        <f>E24+'Income Statement'!F20</f>
        <v>10627.499107598036</v>
      </c>
      <c r="G24" s="283">
        <f>F24+'Income Statement'!G20</f>
        <v>13542.348106944337</v>
      </c>
      <c r="H24" s="283">
        <f>G24+'Income Statement'!H20</f>
        <v>16601.284907090525</v>
      </c>
      <c r="I24" s="283">
        <f>H24+'Income Statement'!I20</f>
        <v>19815.221734800074</v>
      </c>
      <c r="J24" s="284">
        <f>I24+'Income Statement'!J20</f>
        <v>23195.692276410162</v>
      </c>
    </row>
    <row r="25" spans="1:11" ht="16.2" customHeight="1" thickBot="1" x14ac:dyDescent="0.3">
      <c r="A25" s="17" t="s">
        <v>26</v>
      </c>
      <c r="B25" s="36">
        <v>20</v>
      </c>
      <c r="C25" s="19">
        <f>SUM(C23:C24)</f>
        <v>3070622</v>
      </c>
      <c r="D25" s="19">
        <f t="shared" ref="D25:F25" si="10">SUM(D23:D24)</f>
        <v>3543238</v>
      </c>
      <c r="E25" s="420">
        <f t="shared" si="10"/>
        <v>3914742</v>
      </c>
      <c r="F25" s="441">
        <f t="shared" si="10"/>
        <v>4287277.3567149723</v>
      </c>
      <c r="G25" s="442">
        <f t="shared" ref="G25" si="11">SUM(G23:G24)</f>
        <v>4699149.6730322065</v>
      </c>
      <c r="H25" s="442">
        <f t="shared" ref="H25:I25" si="12">SUM(H23:H24)</f>
        <v>5166229.8636936592</v>
      </c>
      <c r="I25" s="442">
        <f t="shared" si="12"/>
        <v>5693335.6243904661</v>
      </c>
      <c r="J25" s="443">
        <f t="shared" ref="J25" si="13">SUM(J23:J24)</f>
        <v>6284886.6466647666</v>
      </c>
    </row>
    <row r="26" spans="1:11" ht="8.4" customHeight="1" thickBot="1" x14ac:dyDescent="0.3">
      <c r="A26" s="24"/>
      <c r="B26" s="25"/>
      <c r="C26" s="25"/>
      <c r="D26" s="25"/>
      <c r="E26" s="25"/>
      <c r="F26" s="285"/>
      <c r="G26" s="285"/>
      <c r="H26" s="285"/>
      <c r="I26" s="285"/>
      <c r="J26" s="285"/>
    </row>
    <row r="27" spans="1:11" ht="15.75" customHeight="1" x14ac:dyDescent="0.25">
      <c r="A27" s="20" t="s">
        <v>27</v>
      </c>
      <c r="B27" s="21">
        <v>22</v>
      </c>
      <c r="C27" s="177">
        <v>123045</v>
      </c>
      <c r="D27" s="177">
        <v>134147</v>
      </c>
      <c r="E27" s="185">
        <v>145294</v>
      </c>
      <c r="F27" s="278">
        <f>E27</f>
        <v>145294</v>
      </c>
      <c r="G27" s="279">
        <f t="shared" ref="G27:J27" si="14">F27</f>
        <v>145294</v>
      </c>
      <c r="H27" s="279">
        <f t="shared" si="14"/>
        <v>145294</v>
      </c>
      <c r="I27" s="279">
        <f t="shared" si="14"/>
        <v>145294</v>
      </c>
      <c r="J27" s="280">
        <f t="shared" si="14"/>
        <v>145294</v>
      </c>
    </row>
    <row r="28" spans="1:11" ht="16.05" customHeight="1" x14ac:dyDescent="0.25">
      <c r="A28" s="13" t="s">
        <v>28</v>
      </c>
      <c r="B28" s="14">
        <v>23</v>
      </c>
      <c r="C28" s="175">
        <v>187276</v>
      </c>
      <c r="D28" s="175">
        <v>206212</v>
      </c>
      <c r="E28" s="190">
        <v>184481</v>
      </c>
      <c r="F28" s="281">
        <f>E28</f>
        <v>184481</v>
      </c>
      <c r="G28" s="390">
        <f t="shared" ref="G28:J29" si="15">F28</f>
        <v>184481</v>
      </c>
      <c r="H28" s="390">
        <f t="shared" si="15"/>
        <v>184481</v>
      </c>
      <c r="I28" s="390">
        <f t="shared" si="15"/>
        <v>184481</v>
      </c>
      <c r="J28" s="401">
        <f t="shared" si="15"/>
        <v>184481</v>
      </c>
    </row>
    <row r="29" spans="1:11" ht="16.05" customHeight="1" x14ac:dyDescent="0.25">
      <c r="A29" s="13" t="s">
        <v>29</v>
      </c>
      <c r="B29" s="14">
        <v>10</v>
      </c>
      <c r="C29" s="175">
        <v>136846</v>
      </c>
      <c r="D29" s="175">
        <v>110016</v>
      </c>
      <c r="E29" s="190">
        <v>254387</v>
      </c>
      <c r="F29" s="281">
        <f>E29</f>
        <v>254387</v>
      </c>
      <c r="G29" s="390">
        <f t="shared" si="15"/>
        <v>254387</v>
      </c>
      <c r="H29" s="390">
        <f t="shared" si="15"/>
        <v>254387</v>
      </c>
      <c r="I29" s="390">
        <f t="shared" si="15"/>
        <v>254387</v>
      </c>
      <c r="J29" s="401">
        <f t="shared" si="15"/>
        <v>254387</v>
      </c>
    </row>
    <row r="30" spans="1:11" ht="16.05" customHeight="1" x14ac:dyDescent="0.25">
      <c r="A30" s="13" t="s">
        <v>30</v>
      </c>
      <c r="B30" s="14">
        <v>24</v>
      </c>
      <c r="C30" s="175">
        <v>2477186</v>
      </c>
      <c r="D30" s="175">
        <v>3351888</v>
      </c>
      <c r="E30" s="190">
        <v>2884220</v>
      </c>
      <c r="F30" s="281">
        <f>E30+Assumptions!F47-Assumptions!F40</f>
        <v>2884220</v>
      </c>
      <c r="G30" s="390">
        <f>F30+Assumptions!G47-Assumptions!G40</f>
        <v>2884220</v>
      </c>
      <c r="H30" s="390">
        <f>G30+Assumptions!H47-Assumptions!H40</f>
        <v>2884220</v>
      </c>
      <c r="I30" s="390">
        <f>H30+Assumptions!I47-Assumptions!I40</f>
        <v>2884220</v>
      </c>
      <c r="J30" s="401">
        <f>I30+Assumptions!J47-Assumptions!J40</f>
        <v>2884220</v>
      </c>
    </row>
    <row r="31" spans="1:11" ht="16.05" customHeight="1" x14ac:dyDescent="0.25">
      <c r="A31" s="13" t="s">
        <v>31</v>
      </c>
      <c r="B31" s="14">
        <v>25</v>
      </c>
      <c r="C31" s="175">
        <v>1022967</v>
      </c>
      <c r="D31" s="175">
        <v>1106221</v>
      </c>
      <c r="E31" s="190">
        <v>1391616</v>
      </c>
      <c r="F31" s="281">
        <f>Assumptions!F61*Assumptions!F4</f>
        <v>1480076.2633211713</v>
      </c>
      <c r="G31" s="390">
        <f>Assumptions!G61*Assumptions!G4</f>
        <v>1543978.7649395005</v>
      </c>
      <c r="H31" s="390">
        <f>Assumptions!H61*Assumptions!H4</f>
        <v>1610640.2660866226</v>
      </c>
      <c r="I31" s="390">
        <f>Assumptions!I61*Assumptions!I4</f>
        <v>1680179.8869566941</v>
      </c>
      <c r="J31" s="401">
        <f>Assumptions!J61*Assumptions!J4</f>
        <v>1752721.8907750715</v>
      </c>
    </row>
    <row r="32" spans="1:11" ht="16.05" customHeight="1" x14ac:dyDescent="0.25">
      <c r="A32" s="13" t="s">
        <v>32</v>
      </c>
      <c r="B32" s="14">
        <v>19</v>
      </c>
      <c r="C32" s="175">
        <v>13539</v>
      </c>
      <c r="D32" s="175">
        <v>61894</v>
      </c>
      <c r="E32" s="190">
        <v>7405</v>
      </c>
      <c r="F32" s="281">
        <f>E32</f>
        <v>7405</v>
      </c>
      <c r="G32" s="390">
        <f t="shared" ref="G32:J32" si="16">F32</f>
        <v>7405</v>
      </c>
      <c r="H32" s="390">
        <f t="shared" si="16"/>
        <v>7405</v>
      </c>
      <c r="I32" s="390">
        <f t="shared" si="16"/>
        <v>7405</v>
      </c>
      <c r="J32" s="401">
        <f t="shared" si="16"/>
        <v>7405</v>
      </c>
    </row>
    <row r="33" spans="1:10" ht="16.05" customHeight="1" x14ac:dyDescent="0.25">
      <c r="A33" s="13" t="s">
        <v>33</v>
      </c>
      <c r="B33" s="14">
        <v>26</v>
      </c>
      <c r="C33" s="175">
        <v>930560</v>
      </c>
      <c r="D33" s="175">
        <v>945657</v>
      </c>
      <c r="E33" s="190">
        <v>841256</v>
      </c>
      <c r="F33" s="281">
        <f>Assumptions!F27</f>
        <v>894731.76291197818</v>
      </c>
      <c r="G33" s="390">
        <f>Assumptions!G27</f>
        <v>933361.93308926048</v>
      </c>
      <c r="H33" s="390">
        <f>Assumptions!H27</f>
        <v>973659.96631755296</v>
      </c>
      <c r="I33" s="390">
        <f>Assumptions!I27</f>
        <v>1015697.8728195425</v>
      </c>
      <c r="J33" s="401">
        <f>Assumptions!J27</f>
        <v>1059550.7718694478</v>
      </c>
    </row>
    <row r="34" spans="1:10" ht="16.2" customHeight="1" thickBot="1" x14ac:dyDescent="0.3">
      <c r="A34" s="15" t="s">
        <v>34</v>
      </c>
      <c r="B34" s="28"/>
      <c r="C34" s="176">
        <v>89271</v>
      </c>
      <c r="D34" s="176">
        <v>37873</v>
      </c>
      <c r="E34" s="193">
        <v>4951</v>
      </c>
      <c r="F34" s="282">
        <f>E34</f>
        <v>4951</v>
      </c>
      <c r="G34" s="283">
        <f t="shared" ref="G34:J34" si="17">F34</f>
        <v>4951</v>
      </c>
      <c r="H34" s="283">
        <f t="shared" si="17"/>
        <v>4951</v>
      </c>
      <c r="I34" s="283">
        <f t="shared" si="17"/>
        <v>4951</v>
      </c>
      <c r="J34" s="284">
        <f t="shared" si="17"/>
        <v>4951</v>
      </c>
    </row>
    <row r="35" spans="1:10" ht="16.05" customHeight="1" thickBot="1" x14ac:dyDescent="0.3">
      <c r="A35" s="22" t="s">
        <v>145</v>
      </c>
      <c r="B35" s="23"/>
      <c r="C35" s="19">
        <f>SUM(C27:C34)</f>
        <v>4980690</v>
      </c>
      <c r="D35" s="19">
        <f>SUM(D27:D34)</f>
        <v>5953908</v>
      </c>
      <c r="E35" s="420">
        <f>SUM(E27:E34)</f>
        <v>5713610</v>
      </c>
      <c r="F35" s="441">
        <f t="shared" ref="F35:J35" si="18">SUM(F27:F34)</f>
        <v>5855546.0262331497</v>
      </c>
      <c r="G35" s="442">
        <f t="shared" si="18"/>
        <v>5958078.69802876</v>
      </c>
      <c r="H35" s="442">
        <f t="shared" si="18"/>
        <v>6065038.2324041761</v>
      </c>
      <c r="I35" s="442">
        <f t="shared" si="18"/>
        <v>6176615.7597762365</v>
      </c>
      <c r="J35" s="443">
        <f t="shared" si="18"/>
        <v>6293010.6626445195</v>
      </c>
    </row>
    <row r="36" spans="1:10" ht="6" customHeight="1" thickBot="1" x14ac:dyDescent="0.3">
      <c r="F36" s="285"/>
      <c r="G36" s="285"/>
      <c r="H36" s="285"/>
      <c r="I36" s="285"/>
      <c r="J36" s="285"/>
    </row>
    <row r="37" spans="1:10" ht="15" customHeight="1" thickBot="1" x14ac:dyDescent="0.3">
      <c r="A37" s="22" t="s">
        <v>35</v>
      </c>
      <c r="B37" s="23"/>
      <c r="C37" s="19">
        <f>C35+C25</f>
        <v>8051312</v>
      </c>
      <c r="D37" s="19">
        <f t="shared" ref="D37:J37" si="19">D35+D25</f>
        <v>9497146</v>
      </c>
      <c r="E37" s="420">
        <f t="shared" si="19"/>
        <v>9628352</v>
      </c>
      <c r="F37" s="441">
        <f t="shared" si="19"/>
        <v>10142823.382948123</v>
      </c>
      <c r="G37" s="442">
        <f t="shared" si="19"/>
        <v>10657228.371060967</v>
      </c>
      <c r="H37" s="442">
        <f t="shared" si="19"/>
        <v>11231268.096097834</v>
      </c>
      <c r="I37" s="442">
        <f t="shared" si="19"/>
        <v>11869951.384166703</v>
      </c>
      <c r="J37" s="443">
        <f t="shared" si="19"/>
        <v>12577897.309309285</v>
      </c>
    </row>
    <row r="38" spans="1:10" ht="15" customHeight="1" thickBot="1" x14ac:dyDescent="0.3"/>
    <row r="39" spans="1:10" ht="12.6" thickBot="1" x14ac:dyDescent="0.3">
      <c r="A39" s="587" t="s">
        <v>144</v>
      </c>
      <c r="B39" s="584"/>
      <c r="C39" s="585">
        <f>C37-C20</f>
        <v>0</v>
      </c>
      <c r="D39" s="585">
        <f t="shared" ref="D39:J39" si="20">D37-D20</f>
        <v>0</v>
      </c>
      <c r="E39" s="585">
        <f t="shared" si="20"/>
        <v>0</v>
      </c>
      <c r="F39" s="585">
        <f t="shared" si="20"/>
        <v>0</v>
      </c>
      <c r="G39" s="585">
        <f t="shared" si="20"/>
        <v>0</v>
      </c>
      <c r="H39" s="585">
        <f t="shared" si="20"/>
        <v>0</v>
      </c>
      <c r="I39" s="585">
        <f t="shared" si="20"/>
        <v>0</v>
      </c>
      <c r="J39" s="586">
        <f t="shared" si="20"/>
        <v>0</v>
      </c>
    </row>
    <row r="40" spans="1:10" x14ac:dyDescent="0.25">
      <c r="G40" s="149"/>
      <c r="H40" s="149"/>
    </row>
  </sheetData>
  <mergeCells count="3">
    <mergeCell ref="B2:E2"/>
    <mergeCell ref="F2:J2"/>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EDF2"/>
  </sheetPr>
  <dimension ref="A1:L53"/>
  <sheetViews>
    <sheetView showGridLines="0" zoomScaleNormal="100" workbookViewId="0">
      <selection activeCell="A52" sqref="A52"/>
    </sheetView>
  </sheetViews>
  <sheetFormatPr defaultRowHeight="12" x14ac:dyDescent="0.25"/>
  <cols>
    <col min="1" max="1" width="67.21875" style="3" customWidth="1"/>
    <col min="2" max="2" width="5.109375" style="3" customWidth="1"/>
    <col min="3" max="9" width="14" style="3" customWidth="1"/>
    <col min="10" max="10" width="14.21875" style="3" customWidth="1"/>
    <col min="11" max="16384" width="8.88671875" style="3"/>
  </cols>
  <sheetData>
    <row r="1" spans="1:12" ht="16.2" customHeight="1" thickBot="1" x14ac:dyDescent="0.3">
      <c r="A1" s="38"/>
      <c r="B1" s="4"/>
      <c r="C1" s="4"/>
      <c r="D1" s="4"/>
      <c r="E1" s="4"/>
      <c r="F1" s="4"/>
    </row>
    <row r="2" spans="1:12" ht="16.2" customHeight="1" thickBot="1" x14ac:dyDescent="0.3">
      <c r="A2" s="38"/>
      <c r="B2" s="560" t="s">
        <v>1</v>
      </c>
      <c r="C2" s="561"/>
      <c r="D2" s="561"/>
      <c r="E2" s="562"/>
      <c r="F2" s="563" t="s">
        <v>140</v>
      </c>
      <c r="G2" s="564"/>
      <c r="H2" s="564"/>
      <c r="I2" s="564"/>
      <c r="J2" s="565"/>
    </row>
    <row r="3" spans="1:12" ht="16.2" customHeight="1" thickBot="1" x14ac:dyDescent="0.3">
      <c r="A3" s="39" t="s">
        <v>2</v>
      </c>
      <c r="B3" s="155"/>
      <c r="C3" s="166">
        <v>2023</v>
      </c>
      <c r="D3" s="166">
        <v>2024</v>
      </c>
      <c r="E3" s="40">
        <v>2025</v>
      </c>
      <c r="F3" s="229">
        <v>2026</v>
      </c>
      <c r="G3" s="157">
        <v>2027</v>
      </c>
      <c r="H3" s="157">
        <v>2028</v>
      </c>
      <c r="I3" s="157">
        <v>2029</v>
      </c>
      <c r="J3" s="161">
        <v>2030</v>
      </c>
    </row>
    <row r="4" spans="1:12" ht="16.2" customHeight="1" thickBot="1" x14ac:dyDescent="0.3">
      <c r="A4" s="393" t="s">
        <v>51</v>
      </c>
      <c r="B4" s="167"/>
      <c r="C4" s="290">
        <v>1388901</v>
      </c>
      <c r="D4" s="291">
        <f>C48</f>
        <v>1121981</v>
      </c>
      <c r="E4" s="292">
        <f>D48</f>
        <v>1742214</v>
      </c>
      <c r="F4" s="394">
        <f>'Balance Sheet'!E18</f>
        <v>1467711</v>
      </c>
      <c r="G4" s="293">
        <f>F48</f>
        <v>1613413.4474058533</v>
      </c>
      <c r="H4" s="293">
        <f>G48</f>
        <v>1828277.9815494218</v>
      </c>
      <c r="I4" s="293">
        <f>H48</f>
        <v>2128381.4733379837</v>
      </c>
      <c r="J4" s="294">
        <f>I48</f>
        <v>2519838.2147238189</v>
      </c>
    </row>
    <row r="5" spans="1:12" ht="16.2" customHeight="1" x14ac:dyDescent="0.25">
      <c r="A5" s="395" t="s">
        <v>56</v>
      </c>
      <c r="B5" s="398"/>
      <c r="C5" s="399"/>
      <c r="D5" s="399"/>
      <c r="E5" s="400"/>
      <c r="F5" s="278"/>
      <c r="G5" s="279"/>
      <c r="H5" s="279"/>
      <c r="I5" s="279"/>
      <c r="J5" s="280"/>
    </row>
    <row r="6" spans="1:12" ht="16.2" customHeight="1" x14ac:dyDescent="0.25">
      <c r="A6" s="396" t="s">
        <v>50</v>
      </c>
      <c r="B6" s="170"/>
      <c r="C6" s="295">
        <v>1257457</v>
      </c>
      <c r="D6" s="295">
        <v>1525913</v>
      </c>
      <c r="E6" s="296">
        <v>1599516</v>
      </c>
      <c r="F6" s="281">
        <f>'Income Statement'!F17</f>
        <v>1711302.9567149719</v>
      </c>
      <c r="G6" s="390">
        <f>'Income Statement'!G17</f>
        <v>1795282.0993601843</v>
      </c>
      <c r="H6" s="390">
        <f>'Income Statement'!H17</f>
        <v>1884027.0908057869</v>
      </c>
      <c r="I6" s="390">
        <f>'Income Statement'!I17</f>
        <v>1979493.0222990632</v>
      </c>
      <c r="J6" s="401">
        <f>'Income Statement'!J17</f>
        <v>2082062.6564628426</v>
      </c>
    </row>
    <row r="7" spans="1:12" ht="16.2" customHeight="1" x14ac:dyDescent="0.25">
      <c r="A7" s="396" t="s">
        <v>45</v>
      </c>
      <c r="B7" s="169">
        <v>10</v>
      </c>
      <c r="C7" s="295">
        <v>344897</v>
      </c>
      <c r="D7" s="295">
        <v>363043</v>
      </c>
      <c r="E7" s="296">
        <v>464119</v>
      </c>
      <c r="F7" s="281">
        <f>'Income Statement'!F16</f>
        <v>511168.4156421345</v>
      </c>
      <c r="G7" s="390">
        <f>'Income Statement'!G16</f>
        <v>536253.09461408108</v>
      </c>
      <c r="H7" s="390">
        <f>'Income Statement'!H16</f>
        <v>562761.33881211816</v>
      </c>
      <c r="I7" s="390">
        <f>'Income Statement'!I16</f>
        <v>591277.13653088897</v>
      </c>
      <c r="J7" s="401">
        <f>'Income Statement'!J16</f>
        <v>621914.81946292706</v>
      </c>
    </row>
    <row r="8" spans="1:12" ht="16.2" customHeight="1" x14ac:dyDescent="0.25">
      <c r="A8" s="396" t="s">
        <v>59</v>
      </c>
      <c r="B8" s="34" t="s">
        <v>60</v>
      </c>
      <c r="C8" s="295">
        <v>662305</v>
      </c>
      <c r="D8" s="295">
        <v>666777</v>
      </c>
      <c r="E8" s="296">
        <v>661936</v>
      </c>
      <c r="F8" s="281">
        <f>Assumptions!F32</f>
        <v>710600</v>
      </c>
      <c r="G8" s="390">
        <f>Assumptions!G32</f>
        <v>741280.25531879708</v>
      </c>
      <c r="H8" s="390">
        <f>Assumptions!H32</f>
        <v>773285.13499226153</v>
      </c>
      <c r="I8" s="390">
        <f>Assumptions!I32</f>
        <v>806671.82986390952</v>
      </c>
      <c r="J8" s="401">
        <f>Assumptions!J32</f>
        <v>841500</v>
      </c>
    </row>
    <row r="9" spans="1:12" ht="16.2" customHeight="1" x14ac:dyDescent="0.25">
      <c r="A9" s="396" t="s">
        <v>61</v>
      </c>
      <c r="B9" s="169">
        <v>23</v>
      </c>
      <c r="C9" s="295">
        <v>64834</v>
      </c>
      <c r="D9" s="295">
        <v>81546</v>
      </c>
      <c r="E9" s="296">
        <v>54466</v>
      </c>
      <c r="F9" s="402">
        <v>0</v>
      </c>
      <c r="G9" s="391">
        <v>0</v>
      </c>
      <c r="H9" s="391">
        <v>0</v>
      </c>
      <c r="I9" s="391">
        <v>0</v>
      </c>
      <c r="J9" s="403">
        <v>0</v>
      </c>
    </row>
    <row r="10" spans="1:12" ht="16.2" customHeight="1" x14ac:dyDescent="0.25">
      <c r="A10" s="396" t="s">
        <v>41</v>
      </c>
      <c r="B10" s="169">
        <v>16</v>
      </c>
      <c r="C10" s="295">
        <v>-6137</v>
      </c>
      <c r="D10" s="295">
        <v>-8245</v>
      </c>
      <c r="E10" s="296">
        <v>-12572</v>
      </c>
      <c r="F10" s="281">
        <f>-'Income Statement'!F10</f>
        <v>-12572</v>
      </c>
      <c r="G10" s="390">
        <f>-'Income Statement'!G10</f>
        <v>-12572</v>
      </c>
      <c r="H10" s="390">
        <f>-'Income Statement'!H10</f>
        <v>-12572</v>
      </c>
      <c r="I10" s="390">
        <f>-'Income Statement'!I10</f>
        <v>-12572</v>
      </c>
      <c r="J10" s="401">
        <f>-'Income Statement'!J10</f>
        <v>-12572</v>
      </c>
    </row>
    <row r="11" spans="1:12" ht="16.2" customHeight="1" x14ac:dyDescent="0.25">
      <c r="A11" s="396" t="s">
        <v>42</v>
      </c>
      <c r="B11" s="169">
        <v>9</v>
      </c>
      <c r="C11" s="295">
        <v>-132319</v>
      </c>
      <c r="D11" s="295">
        <v>-147100</v>
      </c>
      <c r="E11" s="296">
        <v>-168145</v>
      </c>
      <c r="F11" s="281">
        <f>-'Income Statement'!F12</f>
        <v>-152202.16675930697</v>
      </c>
      <c r="G11" s="390">
        <f>-'Income Statement'!G12</f>
        <v>-164465.87162406341</v>
      </c>
      <c r="H11" s="390">
        <f>-'Income Statement'!H12</f>
        <v>-178739.631808779</v>
      </c>
      <c r="I11" s="390">
        <f>-'Income Statement'!I12</f>
        <v>-197382.08245320941</v>
      </c>
      <c r="J11" s="401">
        <f>-'Income Statement'!J12</f>
        <v>-220702.08275800484</v>
      </c>
    </row>
    <row r="12" spans="1:12" ht="16.2" customHeight="1" x14ac:dyDescent="0.25">
      <c r="A12" s="396" t="s">
        <v>43</v>
      </c>
      <c r="B12" s="169">
        <v>9</v>
      </c>
      <c r="C12" s="295">
        <v>147334</v>
      </c>
      <c r="D12" s="295">
        <v>145895</v>
      </c>
      <c r="E12" s="296">
        <v>214226</v>
      </c>
      <c r="F12" s="281">
        <f>'Income Statement'!F13</f>
        <v>184336.38406772539</v>
      </c>
      <c r="G12" s="390">
        <f>'Income Statement'!G13</f>
        <v>184336.38406772539</v>
      </c>
      <c r="H12" s="390">
        <f>'Income Statement'!H13</f>
        <v>184336.38406772539</v>
      </c>
      <c r="I12" s="390">
        <f>'Income Statement'!I13</f>
        <v>184336.38406772539</v>
      </c>
      <c r="J12" s="401">
        <f>'Income Statement'!J13</f>
        <v>184336.38406772539</v>
      </c>
    </row>
    <row r="13" spans="1:12" ht="16.2" customHeight="1" x14ac:dyDescent="0.25">
      <c r="A13" s="396" t="s">
        <v>62</v>
      </c>
      <c r="B13" s="169">
        <v>32</v>
      </c>
      <c r="C13" s="295">
        <v>79813</v>
      </c>
      <c r="D13" s="295">
        <v>91909</v>
      </c>
      <c r="E13" s="296">
        <v>98169</v>
      </c>
      <c r="F13" s="402">
        <v>0</v>
      </c>
      <c r="G13" s="391">
        <v>0</v>
      </c>
      <c r="H13" s="391">
        <v>0</v>
      </c>
      <c r="I13" s="391">
        <v>0</v>
      </c>
      <c r="J13" s="403">
        <v>0</v>
      </c>
      <c r="L13" s="149"/>
    </row>
    <row r="14" spans="1:12" ht="16.2" customHeight="1" x14ac:dyDescent="0.25">
      <c r="A14" s="396" t="s">
        <v>63</v>
      </c>
      <c r="B14" s="169">
        <v>17</v>
      </c>
      <c r="C14" s="295">
        <v>-309564</v>
      </c>
      <c r="D14" s="295">
        <v>-157526</v>
      </c>
      <c r="E14" s="296">
        <v>-76684</v>
      </c>
      <c r="F14" s="281">
        <f>-('Balance Sheet'!F12-'Balance Sheet'!E12)</f>
        <v>-68672.555986286374</v>
      </c>
      <c r="G14" s="390">
        <f>-('Balance Sheet'!G12-'Balance Sheet'!F12)</f>
        <v>-51057.909754690481</v>
      </c>
      <c r="H14" s="390">
        <f>-('Balance Sheet'!H12-'Balance Sheet'!G12)</f>
        <v>-53262.342216438148</v>
      </c>
      <c r="I14" s="390">
        <f>-('Balance Sheet'!I12-'Balance Sheet'!H12)</f>
        <v>-55561.951360932086</v>
      </c>
      <c r="J14" s="401">
        <f>-('Balance Sheet'!J12-'Balance Sheet'!I12)</f>
        <v>-57960.84645488672</v>
      </c>
      <c r="L14" s="149"/>
    </row>
    <row r="15" spans="1:12" ht="16.2" customHeight="1" x14ac:dyDescent="0.25">
      <c r="A15" s="396" t="s">
        <v>64</v>
      </c>
      <c r="B15" s="169">
        <v>18</v>
      </c>
      <c r="C15" s="295">
        <v>-33381</v>
      </c>
      <c r="D15" s="295">
        <v>-94029</v>
      </c>
      <c r="E15" s="296">
        <v>-20617</v>
      </c>
      <c r="F15" s="281">
        <f>-('Balance Sheet'!F13-'Balance Sheet'!E13)</f>
        <v>-10809.600499189284</v>
      </c>
      <c r="G15" s="390">
        <f>-('Balance Sheet'!G13-'Balance Sheet'!F13)</f>
        <v>-16024.393223373743</v>
      </c>
      <c r="H15" s="390">
        <f>-('Balance Sheet'!H13-'Balance Sheet'!G13)</f>
        <v>-16716.24866303301</v>
      </c>
      <c r="I15" s="390">
        <f>-('Balance Sheet'!I13-'Balance Sheet'!H13)</f>
        <v>-17437.975058972195</v>
      </c>
      <c r="J15" s="401">
        <f>-('Balance Sheet'!J13-'Balance Sheet'!I13)</f>
        <v>-18190.862093945441</v>
      </c>
      <c r="K15" s="149"/>
    </row>
    <row r="16" spans="1:12" ht="16.2" customHeight="1" x14ac:dyDescent="0.25">
      <c r="A16" s="396" t="s">
        <v>65</v>
      </c>
      <c r="B16" s="169">
        <v>26</v>
      </c>
      <c r="C16" s="295">
        <v>43277</v>
      </c>
      <c r="D16" s="295">
        <v>7672</v>
      </c>
      <c r="E16" s="296">
        <v>-59130</v>
      </c>
      <c r="F16" s="281">
        <f>('Balance Sheet'!F33-'Balance Sheet'!E33)</f>
        <v>53475.762911978178</v>
      </c>
      <c r="G16" s="390">
        <f>('Balance Sheet'!G33-'Balance Sheet'!F33)</f>
        <v>38630.1701772823</v>
      </c>
      <c r="H16" s="390">
        <f>('Balance Sheet'!H33-'Balance Sheet'!G33)</f>
        <v>40298.033228292479</v>
      </c>
      <c r="I16" s="390">
        <f>('Balance Sheet'!I33-'Balance Sheet'!H33)</f>
        <v>42037.906501989579</v>
      </c>
      <c r="J16" s="401">
        <f>('Balance Sheet'!J33-'Balance Sheet'!I33)</f>
        <v>43852.899049905245</v>
      </c>
    </row>
    <row r="17" spans="1:10" ht="16.2" customHeight="1" x14ac:dyDescent="0.25">
      <c r="A17" s="396" t="s">
        <v>66</v>
      </c>
      <c r="B17" s="169">
        <v>27</v>
      </c>
      <c r="C17" s="295">
        <v>-107247</v>
      </c>
      <c r="D17" s="295">
        <v>-118687</v>
      </c>
      <c r="E17" s="296">
        <v>-154580</v>
      </c>
      <c r="F17" s="281">
        <f>-('Balance Sheet'!F14-'Balance Sheet'!E14)</f>
        <v>-102558.0584021199</v>
      </c>
      <c r="G17" s="390">
        <f>-('Balance Sheet'!G14-'Balance Sheet'!F14)</f>
        <v>-74086.558720944449</v>
      </c>
      <c r="H17" s="390">
        <f>-('Balance Sheet'!H14-'Balance Sheet'!G14)</f>
        <v>-77285.256352874683</v>
      </c>
      <c r="I17" s="390">
        <f>-('Balance Sheet'!I14-'Balance Sheet'!H14)</f>
        <v>-80622.058206638787</v>
      </c>
      <c r="J17" s="401">
        <f>-('Balance Sheet'!J14-'Balance Sheet'!I14)</f>
        <v>-84102.92695151153</v>
      </c>
    </row>
    <row r="18" spans="1:10" ht="16.2" customHeight="1" x14ac:dyDescent="0.25">
      <c r="A18" s="396" t="s">
        <v>67</v>
      </c>
      <c r="B18" s="170"/>
      <c r="C18" s="295">
        <v>48642</v>
      </c>
      <c r="D18" s="295">
        <v>-20045</v>
      </c>
      <c r="E18" s="296">
        <v>222377</v>
      </c>
      <c r="F18" s="281">
        <f>-('Balance Sheet'!F16-'Balance Sheet'!E16)+('Balance Sheet'!F31-'Balance Sheet'!E31)</f>
        <v>83703.542666499154</v>
      </c>
      <c r="G18" s="390">
        <f>-('Balance Sheet'!G16-'Balance Sheet'!F16)+('Balance Sheet'!G31-'Balance Sheet'!F31)</f>
        <v>56822.654029263096</v>
      </c>
      <c r="H18" s="390">
        <f>-('Balance Sheet'!H16-'Balance Sheet'!G16)+('Balance Sheet'!H31-'Balance Sheet'!G31)</f>
        <v>59275.980138902203</v>
      </c>
      <c r="I18" s="390">
        <f>-('Balance Sheet'!I16-'Balance Sheet'!H16)+('Balance Sheet'!I31-'Balance Sheet'!H31)</f>
        <v>61835.228949672339</v>
      </c>
      <c r="J18" s="401">
        <f>-('Balance Sheet'!J16-'Balance Sheet'!I16)+('Balance Sheet'!J31-'Balance Sheet'!I31)</f>
        <v>64504.97368914925</v>
      </c>
    </row>
    <row r="19" spans="1:10" ht="16.2" customHeight="1" x14ac:dyDescent="0.25">
      <c r="A19" s="396" t="s">
        <v>68</v>
      </c>
      <c r="B19" s="169">
        <v>9</v>
      </c>
      <c r="C19" s="295">
        <v>32432</v>
      </c>
      <c r="D19" s="295">
        <v>49673</v>
      </c>
      <c r="E19" s="296">
        <v>38035</v>
      </c>
      <c r="F19" s="281">
        <f>-F11</f>
        <v>152202.16675930697</v>
      </c>
      <c r="G19" s="390">
        <f t="shared" ref="G19:J19" si="0">-G11</f>
        <v>164465.87162406341</v>
      </c>
      <c r="H19" s="390">
        <f t="shared" si="0"/>
        <v>178739.631808779</v>
      </c>
      <c r="I19" s="390">
        <f t="shared" si="0"/>
        <v>197382.08245320941</v>
      </c>
      <c r="J19" s="401">
        <f t="shared" si="0"/>
        <v>220702.08275800484</v>
      </c>
    </row>
    <row r="20" spans="1:10" ht="16.2" customHeight="1" x14ac:dyDescent="0.25">
      <c r="A20" s="396" t="s">
        <v>69</v>
      </c>
      <c r="B20" s="169">
        <v>9</v>
      </c>
      <c r="C20" s="295">
        <v>-83243</v>
      </c>
      <c r="D20" s="295">
        <v>-50354</v>
      </c>
      <c r="E20" s="296">
        <v>-126257</v>
      </c>
      <c r="F20" s="281">
        <f>-F12</f>
        <v>-184336.38406772539</v>
      </c>
      <c r="G20" s="390">
        <f t="shared" ref="G20:J20" si="1">-G12</f>
        <v>-184336.38406772539</v>
      </c>
      <c r="H20" s="390">
        <f t="shared" si="1"/>
        <v>-184336.38406772539</v>
      </c>
      <c r="I20" s="390">
        <f t="shared" si="1"/>
        <v>-184336.38406772539</v>
      </c>
      <c r="J20" s="401">
        <f t="shared" si="1"/>
        <v>-184336.38406772539</v>
      </c>
    </row>
    <row r="21" spans="1:10" ht="16.2" customHeight="1" thickBot="1" x14ac:dyDescent="0.3">
      <c r="A21" s="397" t="s">
        <v>70</v>
      </c>
      <c r="B21" s="171">
        <v>10</v>
      </c>
      <c r="C21" s="297">
        <v>-292463</v>
      </c>
      <c r="D21" s="297">
        <v>-409786</v>
      </c>
      <c r="E21" s="298">
        <v>-385554</v>
      </c>
      <c r="F21" s="282">
        <f>-F7</f>
        <v>-511168.4156421345</v>
      </c>
      <c r="G21" s="283">
        <f t="shared" ref="G21:J21" si="2">-G7</f>
        <v>-536253.09461408108</v>
      </c>
      <c r="H21" s="283">
        <f t="shared" si="2"/>
        <v>-562761.33881211816</v>
      </c>
      <c r="I21" s="283">
        <f t="shared" si="2"/>
        <v>-591277.13653088897</v>
      </c>
      <c r="J21" s="284">
        <f t="shared" si="2"/>
        <v>-621914.81946292706</v>
      </c>
    </row>
    <row r="22" spans="1:10" ht="16.2" customHeight="1" thickBot="1" x14ac:dyDescent="0.3">
      <c r="A22" s="405" t="s">
        <v>52</v>
      </c>
      <c r="B22" s="23"/>
      <c r="C22" s="299">
        <f>SUM(C6:C21)</f>
        <v>1716637</v>
      </c>
      <c r="D22" s="299">
        <f t="shared" ref="D22:E22" si="3">SUM(D6:D21)</f>
        <v>1926656</v>
      </c>
      <c r="E22" s="404">
        <f t="shared" si="3"/>
        <v>2349305</v>
      </c>
      <c r="F22" s="444">
        <f t="shared" ref="F22" si="4">SUM(F6:F21)</f>
        <v>2364470.0474058534</v>
      </c>
      <c r="G22" s="445">
        <f t="shared" ref="G22" si="5">SUM(G6:G21)</f>
        <v>2478274.3171865181</v>
      </c>
      <c r="H22" s="445">
        <f t="shared" ref="H22" si="6">SUM(H6:H21)</f>
        <v>2597050.3919328973</v>
      </c>
      <c r="I22" s="445">
        <f t="shared" ref="I22" si="7">SUM(I6:I21)</f>
        <v>2723844.0029880917</v>
      </c>
      <c r="J22" s="446">
        <f t="shared" ref="J22" si="8">SUM(J6:J21)</f>
        <v>2859093.8937015533</v>
      </c>
    </row>
    <row r="23" spans="1:10" ht="8.4" customHeight="1" thickBot="1" x14ac:dyDescent="0.3">
      <c r="C23" s="300"/>
      <c r="D23" s="300"/>
      <c r="E23" s="300"/>
      <c r="F23" s="300"/>
      <c r="G23" s="300"/>
      <c r="H23" s="300"/>
      <c r="I23" s="300"/>
      <c r="J23" s="300"/>
    </row>
    <row r="24" spans="1:10" ht="16.2" customHeight="1" x14ac:dyDescent="0.25">
      <c r="A24" s="395" t="s">
        <v>53</v>
      </c>
      <c r="B24" s="398"/>
      <c r="C24" s="399"/>
      <c r="D24" s="399"/>
      <c r="E24" s="400"/>
      <c r="F24" s="278"/>
      <c r="G24" s="279"/>
      <c r="H24" s="279"/>
      <c r="I24" s="279"/>
      <c r="J24" s="280"/>
    </row>
    <row r="25" spans="1:10" ht="16.2" customHeight="1" x14ac:dyDescent="0.25">
      <c r="A25" s="396" t="s">
        <v>71</v>
      </c>
      <c r="B25" s="169">
        <v>14</v>
      </c>
      <c r="C25" s="295">
        <v>-487148</v>
      </c>
      <c r="D25" s="295">
        <v>-506874</v>
      </c>
      <c r="E25" s="296">
        <v>-457976</v>
      </c>
      <c r="F25" s="406">
        <f>-Assumptions!F34*Assumptions!F31</f>
        <v>-427295.23126933607</v>
      </c>
      <c r="G25" s="392">
        <f>-Assumptions!G34*Assumptions!G31</f>
        <v>-427295.23126933607</v>
      </c>
      <c r="H25" s="392">
        <f>-Assumptions!H34*Assumptions!H31</f>
        <v>-427295.23126933607</v>
      </c>
      <c r="I25" s="392">
        <f>-Assumptions!I34*Assumptions!I31</f>
        <v>-427295.23126933607</v>
      </c>
      <c r="J25" s="407">
        <f>-Assumptions!J34*Assumptions!J31</f>
        <v>-427295.23126933607</v>
      </c>
    </row>
    <row r="26" spans="1:10" ht="16.2" customHeight="1" x14ac:dyDescent="0.25">
      <c r="A26" s="396" t="s">
        <v>72</v>
      </c>
      <c r="B26" s="169">
        <v>15</v>
      </c>
      <c r="C26" s="295">
        <v>-381762</v>
      </c>
      <c r="D26" s="295">
        <v>-482277</v>
      </c>
      <c r="E26" s="296">
        <v>-485210</v>
      </c>
      <c r="F26" s="281">
        <f>-Assumptions!F35*Assumptions!F31</f>
        <v>-452704.76873066393</v>
      </c>
      <c r="G26" s="390">
        <f>-Assumptions!G35*Assumptions!G31</f>
        <v>-452704.76873066393</v>
      </c>
      <c r="H26" s="390">
        <f>-Assumptions!H35*Assumptions!H31</f>
        <v>-452704.76873066393</v>
      </c>
      <c r="I26" s="390">
        <f>-Assumptions!I35*Assumptions!I31</f>
        <v>-452704.76873066393</v>
      </c>
      <c r="J26" s="401">
        <f>-Assumptions!J35*Assumptions!J31</f>
        <v>-452704.76873066393</v>
      </c>
    </row>
    <row r="27" spans="1:10" ht="16.2" customHeight="1" x14ac:dyDescent="0.25">
      <c r="A27" s="396" t="s">
        <v>73</v>
      </c>
      <c r="B27" s="170"/>
      <c r="C27" s="295">
        <v>0</v>
      </c>
      <c r="D27" s="295">
        <v>0</v>
      </c>
      <c r="E27" s="296">
        <v>-1352</v>
      </c>
      <c r="F27" s="402">
        <v>0</v>
      </c>
      <c r="G27" s="391">
        <v>0</v>
      </c>
      <c r="H27" s="391">
        <v>0</v>
      </c>
      <c r="I27" s="391">
        <v>0</v>
      </c>
      <c r="J27" s="403">
        <v>0</v>
      </c>
    </row>
    <row r="28" spans="1:10" ht="16.2" customHeight="1" thickBot="1" x14ac:dyDescent="0.3">
      <c r="A28" s="397" t="s">
        <v>74</v>
      </c>
      <c r="B28" s="28" t="s">
        <v>60</v>
      </c>
      <c r="C28" s="297">
        <v>2458</v>
      </c>
      <c r="D28" s="297">
        <v>2041</v>
      </c>
      <c r="E28" s="298">
        <v>400</v>
      </c>
      <c r="F28" s="408">
        <v>0</v>
      </c>
      <c r="G28" s="409">
        <v>0</v>
      </c>
      <c r="H28" s="409">
        <v>0</v>
      </c>
      <c r="I28" s="409">
        <v>0</v>
      </c>
      <c r="J28" s="410">
        <v>0</v>
      </c>
    </row>
    <row r="29" spans="1:10" ht="16.2" customHeight="1" thickBot="1" x14ac:dyDescent="0.3">
      <c r="A29" s="405" t="s">
        <v>54</v>
      </c>
      <c r="B29" s="23"/>
      <c r="C29" s="299">
        <f>SUM(C25:C28)</f>
        <v>-866452</v>
      </c>
      <c r="D29" s="299">
        <f t="shared" ref="D29:J29" si="9">SUM(D25:D28)</f>
        <v>-987110</v>
      </c>
      <c r="E29" s="404">
        <f t="shared" si="9"/>
        <v>-944138</v>
      </c>
      <c r="F29" s="444">
        <f t="shared" si="9"/>
        <v>-880000</v>
      </c>
      <c r="G29" s="445">
        <f t="shared" si="9"/>
        <v>-880000</v>
      </c>
      <c r="H29" s="445">
        <f t="shared" si="9"/>
        <v>-880000</v>
      </c>
      <c r="I29" s="445">
        <f t="shared" si="9"/>
        <v>-880000</v>
      </c>
      <c r="J29" s="446">
        <f t="shared" si="9"/>
        <v>-880000</v>
      </c>
    </row>
    <row r="30" spans="1:10" ht="8.4" customHeight="1" thickBot="1" x14ac:dyDescent="0.3">
      <c r="C30" s="300"/>
      <c r="D30" s="300"/>
      <c r="E30" s="300"/>
      <c r="F30" s="300"/>
      <c r="G30" s="300"/>
      <c r="H30" s="300"/>
      <c r="I30" s="300"/>
      <c r="J30" s="300"/>
    </row>
    <row r="31" spans="1:10" ht="16.2" customHeight="1" x14ac:dyDescent="0.25">
      <c r="A31" s="395" t="s">
        <v>57</v>
      </c>
      <c r="B31" s="168"/>
      <c r="C31" s="301"/>
      <c r="D31" s="301"/>
      <c r="E31" s="302"/>
      <c r="F31" s="278"/>
      <c r="G31" s="279"/>
      <c r="H31" s="279"/>
      <c r="I31" s="279"/>
      <c r="J31" s="280"/>
    </row>
    <row r="32" spans="1:10" ht="16.2" customHeight="1" x14ac:dyDescent="0.25">
      <c r="A32" s="396" t="s">
        <v>75</v>
      </c>
      <c r="B32" s="169">
        <v>24</v>
      </c>
      <c r="C32" s="303">
        <v>-575702</v>
      </c>
      <c r="D32" s="295">
        <v>0</v>
      </c>
      <c r="E32" s="296">
        <v>-450963</v>
      </c>
      <c r="F32" s="281">
        <f>-Assumptions!F40*Assumptions!F42</f>
        <v>-471520.76402364933</v>
      </c>
      <c r="G32" s="390">
        <f>-Assumptions!G40*Assumptions!G42</f>
        <v>-393195.8532024388</v>
      </c>
      <c r="H32" s="390">
        <f>-Assumptions!H40*Assumptions!H42</f>
        <v>-393195.8532024388</v>
      </c>
      <c r="I32" s="390">
        <f>-Assumptions!I40*Assumptions!I42</f>
        <v>-393195.8532024388</v>
      </c>
      <c r="J32" s="401">
        <f>-Assumptions!J40*Assumptions!J42</f>
        <v>-393195.8532024388</v>
      </c>
    </row>
    <row r="33" spans="1:10" ht="16.2" customHeight="1" x14ac:dyDescent="0.25">
      <c r="A33" s="396" t="s">
        <v>76</v>
      </c>
      <c r="B33" s="169">
        <v>24</v>
      </c>
      <c r="C33" s="295">
        <v>0</v>
      </c>
      <c r="D33" s="303">
        <v>496145</v>
      </c>
      <c r="E33" s="304">
        <v>0</v>
      </c>
      <c r="F33" s="281">
        <f>Assumptions!F49*Assumptions!F47</f>
        <v>223797.24897006209</v>
      </c>
      <c r="G33" s="390">
        <f>Assumptions!G49*Assumptions!G47</f>
        <v>186622.00472836164</v>
      </c>
      <c r="H33" s="390">
        <f>Assumptions!H49*Assumptions!H47</f>
        <v>186622.00472836164</v>
      </c>
      <c r="I33" s="390">
        <f>Assumptions!I49*Assumptions!I47</f>
        <v>186622.00472836164</v>
      </c>
      <c r="J33" s="401">
        <f>Assumptions!J49*Assumptions!J47</f>
        <v>186622.00472836164</v>
      </c>
    </row>
    <row r="34" spans="1:10" ht="16.2" customHeight="1" x14ac:dyDescent="0.25">
      <c r="A34" s="396" t="s">
        <v>77</v>
      </c>
      <c r="B34" s="169">
        <v>24</v>
      </c>
      <c r="C34" s="303">
        <v>-49611</v>
      </c>
      <c r="D34" s="303">
        <v>-243649</v>
      </c>
      <c r="E34" s="296">
        <v>-33294</v>
      </c>
      <c r="F34" s="281">
        <f>-Assumptions!F40*Assumptions!F43</f>
        <v>-149977.83266691549</v>
      </c>
      <c r="G34" s="390">
        <f>-Assumptions!G40*Assumptions!G43</f>
        <v>-125064.82508575749</v>
      </c>
      <c r="H34" s="390">
        <f>-Assumptions!H40*Assumptions!H43</f>
        <v>-125064.82508575749</v>
      </c>
      <c r="I34" s="390">
        <f>-Assumptions!I40*Assumptions!I43</f>
        <v>-125064.82508575749</v>
      </c>
      <c r="J34" s="401">
        <f>-Assumptions!J40*Assumptions!J43</f>
        <v>-125064.82508575749</v>
      </c>
    </row>
    <row r="35" spans="1:10" ht="16.2" customHeight="1" x14ac:dyDescent="0.25">
      <c r="A35" s="396" t="s">
        <v>78</v>
      </c>
      <c r="B35" s="169">
        <v>24</v>
      </c>
      <c r="C35" s="303">
        <v>151217</v>
      </c>
      <c r="D35" s="303">
        <v>340499</v>
      </c>
      <c r="E35" s="296">
        <v>142375</v>
      </c>
      <c r="F35" s="281">
        <f>Assumptions!F50*Assumptions!F47</f>
        <v>286020.86365210905</v>
      </c>
      <c r="G35" s="390">
        <f>Assumptions!G50*Assumptions!G47</f>
        <v>238509.57603162699</v>
      </c>
      <c r="H35" s="390">
        <f>Assumptions!H50*Assumptions!H47</f>
        <v>238509.57603162699</v>
      </c>
      <c r="I35" s="390">
        <f>Assumptions!I50*Assumptions!I47</f>
        <v>238509.57603162699</v>
      </c>
      <c r="J35" s="401">
        <f>Assumptions!J50*Assumptions!J47</f>
        <v>238509.57603162699</v>
      </c>
    </row>
    <row r="36" spans="1:10" ht="16.2" customHeight="1" x14ac:dyDescent="0.25">
      <c r="A36" s="396" t="s">
        <v>79</v>
      </c>
      <c r="B36" s="169">
        <v>24</v>
      </c>
      <c r="C36" s="303">
        <v>-72500</v>
      </c>
      <c r="D36" s="303">
        <v>-104690</v>
      </c>
      <c r="E36" s="296">
        <v>-378332</v>
      </c>
      <c r="F36" s="281">
        <f>-Assumptions!F40*Assumptions!F44</f>
        <v>-255136.93159106985</v>
      </c>
      <c r="G36" s="390">
        <f>-Assumptions!G40*Assumptions!G44</f>
        <v>-212755.81300884439</v>
      </c>
      <c r="H36" s="390">
        <f>-Assumptions!H40*Assumptions!H44</f>
        <v>-212755.81300884439</v>
      </c>
      <c r="I36" s="390">
        <f>-Assumptions!I40*Assumptions!I44</f>
        <v>-212755.81300884439</v>
      </c>
      <c r="J36" s="401">
        <f>-Assumptions!J40*Assumptions!J44</f>
        <v>-212755.81300884439</v>
      </c>
    </row>
    <row r="37" spans="1:10" ht="16.2" customHeight="1" x14ac:dyDescent="0.25">
      <c r="A37" s="396" t="s">
        <v>80</v>
      </c>
      <c r="B37" s="169">
        <v>24</v>
      </c>
      <c r="C37" s="303">
        <v>250000</v>
      </c>
      <c r="D37" s="303">
        <v>225000</v>
      </c>
      <c r="E37" s="296">
        <v>400000</v>
      </c>
      <c r="F37" s="281">
        <f>Assumptions!F51*Assumptions!F47</f>
        <v>394688.23196606699</v>
      </c>
      <c r="G37" s="390">
        <f>Assumptions!G51*Assumptions!G47</f>
        <v>329126.07027646439</v>
      </c>
      <c r="H37" s="390">
        <f>Assumptions!H51*Assumptions!H47</f>
        <v>329126.07027646439</v>
      </c>
      <c r="I37" s="390">
        <f>Assumptions!I51*Assumptions!I47</f>
        <v>329126.07027646439</v>
      </c>
      <c r="J37" s="401">
        <f>Assumptions!J51*Assumptions!J47</f>
        <v>329126.07027646439</v>
      </c>
    </row>
    <row r="38" spans="1:10" ht="16.2" customHeight="1" x14ac:dyDescent="0.25">
      <c r="A38" s="396" t="s">
        <v>81</v>
      </c>
      <c r="B38" s="169">
        <v>24</v>
      </c>
      <c r="C38" s="303">
        <v>-35566</v>
      </c>
      <c r="D38" s="303">
        <v>-41297</v>
      </c>
      <c r="E38" s="296">
        <v>-46161</v>
      </c>
      <c r="F38" s="281">
        <f>-Assumptions!F40*Assumptions!F45</f>
        <v>-56501.751275484632</v>
      </c>
      <c r="G38" s="390">
        <f>-Assumptions!G40*Assumptions!G45</f>
        <v>-47116.173868181759</v>
      </c>
      <c r="H38" s="390">
        <f>-Assumptions!H40*Assumptions!H45</f>
        <v>-47116.173868181759</v>
      </c>
      <c r="I38" s="390">
        <f>-Assumptions!I40*Assumptions!I45</f>
        <v>-47116.173868181759</v>
      </c>
      <c r="J38" s="401">
        <f>-Assumptions!J40*Assumptions!J45</f>
        <v>-47116.173868181759</v>
      </c>
    </row>
    <row r="39" spans="1:10" ht="16.2" customHeight="1" x14ac:dyDescent="0.25">
      <c r="A39" s="396" t="s">
        <v>82</v>
      </c>
      <c r="B39" s="169">
        <v>24</v>
      </c>
      <c r="C39" s="303">
        <v>34596</v>
      </c>
      <c r="D39" s="303">
        <v>51022</v>
      </c>
      <c r="E39" s="296">
        <v>42527</v>
      </c>
      <c r="F39" s="281">
        <f>Assumptions!F52*Assumptions!F47</f>
        <v>57802.655411761887</v>
      </c>
      <c r="G39" s="390">
        <f>Assumptions!G52*Assumptions!G47</f>
        <v>48200.983172088607</v>
      </c>
      <c r="H39" s="390">
        <f>Assumptions!H52*Assumptions!H47</f>
        <v>48200.983172088607</v>
      </c>
      <c r="I39" s="390">
        <f>Assumptions!I52*Assumptions!I47</f>
        <v>48200.983172088607</v>
      </c>
      <c r="J39" s="401">
        <f>Assumptions!J52*Assumptions!J47</f>
        <v>48200.983172088607</v>
      </c>
    </row>
    <row r="40" spans="1:10" ht="16.2" customHeight="1" x14ac:dyDescent="0.25">
      <c r="A40" s="396" t="s">
        <v>83</v>
      </c>
      <c r="B40" s="169">
        <v>24</v>
      </c>
      <c r="C40" s="303">
        <v>-17691</v>
      </c>
      <c r="D40" s="303">
        <v>-22001</v>
      </c>
      <c r="E40" s="296">
        <v>-23825</v>
      </c>
      <c r="F40" s="281">
        <f>-Assumptions!F40*Assumptions!F46</f>
        <v>-29171.72044288072</v>
      </c>
      <c r="G40" s="390">
        <f>-Assumptions!G40*Assumptions!G46</f>
        <v>-24325.969043319197</v>
      </c>
      <c r="H40" s="390">
        <f>-Assumptions!H40*Assumptions!H46</f>
        <v>-24325.969043319197</v>
      </c>
      <c r="I40" s="390">
        <f>-Assumptions!I40*Assumptions!I46</f>
        <v>-24325.969043319197</v>
      </c>
      <c r="J40" s="401">
        <f>-Assumptions!J40*Assumptions!J46</f>
        <v>-24325.969043319197</v>
      </c>
    </row>
    <row r="41" spans="1:10" ht="16.2" customHeight="1" x14ac:dyDescent="0.25">
      <c r="A41" s="396" t="s">
        <v>84</v>
      </c>
      <c r="B41" s="169">
        <v>20</v>
      </c>
      <c r="C41" s="303">
        <v>-328631</v>
      </c>
      <c r="D41" s="303">
        <v>-439918</v>
      </c>
      <c r="E41" s="296">
        <v>-529707</v>
      </c>
      <c r="F41" s="281">
        <f>-Assumptions!F57*'Income Statement'!E19</f>
        <v>-638767.60000000009</v>
      </c>
      <c r="G41" s="390">
        <f>-Assumptions!G57*'Income Statement'!F19</f>
        <v>-683409.78304294962</v>
      </c>
      <c r="H41" s="390">
        <f>-Assumptions!H57*'Income Statement'!G19</f>
        <v>-716946.90014433523</v>
      </c>
      <c r="I41" s="390">
        <f>-Assumptions!I57*'Income Statement'!H19</f>
        <v>-752387.26160225633</v>
      </c>
      <c r="J41" s="401">
        <f>-Assumptions!J57*'Income Statement'!I19</f>
        <v>-790511.63418854144</v>
      </c>
    </row>
    <row r="42" spans="1:10" ht="16.2" customHeight="1" x14ac:dyDescent="0.25">
      <c r="A42" s="396" t="s">
        <v>85</v>
      </c>
      <c r="B42" s="169">
        <v>20</v>
      </c>
      <c r="C42" s="303">
        <v>-4890</v>
      </c>
      <c r="D42" s="303">
        <v>-4788</v>
      </c>
      <c r="E42" s="296">
        <v>-4448</v>
      </c>
      <c r="F42" s="402">
        <v>0</v>
      </c>
      <c r="G42" s="391">
        <v>0</v>
      </c>
      <c r="H42" s="391">
        <v>0</v>
      </c>
      <c r="I42" s="391">
        <v>0</v>
      </c>
      <c r="J42" s="403">
        <v>0</v>
      </c>
    </row>
    <row r="43" spans="1:10" ht="16.2" customHeight="1" thickBot="1" x14ac:dyDescent="0.3">
      <c r="A43" s="397" t="s">
        <v>86</v>
      </c>
      <c r="B43" s="171">
        <v>20</v>
      </c>
      <c r="C43" s="305">
        <v>-460629</v>
      </c>
      <c r="D43" s="305">
        <v>-581084</v>
      </c>
      <c r="E43" s="298">
        <v>-785329</v>
      </c>
      <c r="F43" s="282">
        <f>-Assumptions!F58</f>
        <v>-700000</v>
      </c>
      <c r="G43" s="283">
        <f>-Assumptions!G58</f>
        <v>-700000</v>
      </c>
      <c r="H43" s="283">
        <f>-Assumptions!H58</f>
        <v>-700000</v>
      </c>
      <c r="I43" s="283">
        <f>-Assumptions!I58</f>
        <v>-700000</v>
      </c>
      <c r="J43" s="284">
        <f>-Assumptions!J58</f>
        <v>-700000</v>
      </c>
    </row>
    <row r="44" spans="1:10" ht="16.2" customHeight="1" thickBot="1" x14ac:dyDescent="0.3">
      <c r="A44" s="405" t="s">
        <v>58</v>
      </c>
      <c r="B44" s="23"/>
      <c r="C44" s="277">
        <f>SUM(C32:C43)</f>
        <v>-1109407</v>
      </c>
      <c r="D44" s="277">
        <f t="shared" ref="D44:J44" si="10">SUM(D32:D43)</f>
        <v>-324761</v>
      </c>
      <c r="E44" s="412">
        <f t="shared" si="10"/>
        <v>-1667157</v>
      </c>
      <c r="F44" s="441">
        <f t="shared" si="10"/>
        <v>-1338767.6000000001</v>
      </c>
      <c r="G44" s="442">
        <f t="shared" si="10"/>
        <v>-1383409.7830429496</v>
      </c>
      <c r="H44" s="442">
        <f t="shared" si="10"/>
        <v>-1416946.9001443353</v>
      </c>
      <c r="I44" s="442">
        <f t="shared" si="10"/>
        <v>-1452387.2616022564</v>
      </c>
      <c r="J44" s="443">
        <f t="shared" si="10"/>
        <v>-1490511.6341885414</v>
      </c>
    </row>
    <row r="45" spans="1:10" ht="16.2" customHeight="1" thickBot="1" x14ac:dyDescent="0.3">
      <c r="A45" s="411" t="s">
        <v>87</v>
      </c>
      <c r="B45" s="172"/>
      <c r="C45" s="306">
        <v>-7698</v>
      </c>
      <c r="D45" s="306">
        <v>5448</v>
      </c>
      <c r="E45" s="307">
        <v>-12514</v>
      </c>
      <c r="F45" s="413">
        <v>0</v>
      </c>
      <c r="G45" s="414">
        <v>0</v>
      </c>
      <c r="H45" s="414">
        <v>0</v>
      </c>
      <c r="I45" s="414">
        <v>0</v>
      </c>
      <c r="J45" s="415">
        <v>0</v>
      </c>
    </row>
    <row r="46" spans="1:10" ht="8.4" customHeight="1" thickBot="1" x14ac:dyDescent="0.3">
      <c r="C46" s="300"/>
      <c r="D46" s="300"/>
      <c r="E46" s="300"/>
      <c r="F46" s="300"/>
      <c r="G46" s="300"/>
      <c r="H46" s="300"/>
      <c r="I46" s="300"/>
      <c r="J46" s="300"/>
    </row>
    <row r="47" spans="1:10" ht="16.2" customHeight="1" thickBot="1" x14ac:dyDescent="0.3">
      <c r="A47" s="405" t="s">
        <v>88</v>
      </c>
      <c r="B47" s="23"/>
      <c r="C47" s="277">
        <f>SUM(C45,C44,C29,C22)</f>
        <v>-266920</v>
      </c>
      <c r="D47" s="277">
        <f t="shared" ref="D47:J47" si="11">SUM(D45,D44,D29,D22)</f>
        <v>620233</v>
      </c>
      <c r="E47" s="412">
        <f t="shared" si="11"/>
        <v>-274504</v>
      </c>
      <c r="F47" s="441">
        <f t="shared" si="11"/>
        <v>145702.44740585331</v>
      </c>
      <c r="G47" s="442">
        <f t="shared" si="11"/>
        <v>214864.53414356848</v>
      </c>
      <c r="H47" s="442">
        <f t="shared" si="11"/>
        <v>300103.49178856192</v>
      </c>
      <c r="I47" s="442">
        <f t="shared" si="11"/>
        <v>391456.74138583522</v>
      </c>
      <c r="J47" s="443">
        <f t="shared" si="11"/>
        <v>488582.25951301213</v>
      </c>
    </row>
    <row r="48" spans="1:10" ht="16.2" customHeight="1" thickBot="1" x14ac:dyDescent="0.3">
      <c r="A48" s="405" t="s">
        <v>89</v>
      </c>
      <c r="B48" s="173">
        <v>32</v>
      </c>
      <c r="C48" s="277">
        <f t="shared" ref="C48:J48" si="12">SUM(C47,C4)</f>
        <v>1121981</v>
      </c>
      <c r="D48" s="277">
        <f t="shared" si="12"/>
        <v>1742214</v>
      </c>
      <c r="E48" s="412">
        <f t="shared" si="12"/>
        <v>1467710</v>
      </c>
      <c r="F48" s="441">
        <f t="shared" si="12"/>
        <v>1613413.4474058533</v>
      </c>
      <c r="G48" s="442">
        <f t="shared" si="12"/>
        <v>1828277.9815494218</v>
      </c>
      <c r="H48" s="442">
        <f t="shared" si="12"/>
        <v>2128381.4733379837</v>
      </c>
      <c r="I48" s="442">
        <f t="shared" si="12"/>
        <v>2519838.2147238189</v>
      </c>
      <c r="J48" s="443">
        <f t="shared" si="12"/>
        <v>3008420.4742368311</v>
      </c>
    </row>
    <row r="49" spans="2:6" ht="16.2" customHeight="1" x14ac:dyDescent="0.25">
      <c r="C49" s="165"/>
    </row>
    <row r="50" spans="2:6" ht="16.2" customHeight="1" x14ac:dyDescent="0.25">
      <c r="C50" s="149"/>
      <c r="F50" s="2"/>
    </row>
    <row r="51" spans="2:6" x14ac:dyDescent="0.25">
      <c r="B51" s="43"/>
      <c r="C51" s="44"/>
      <c r="D51" s="44"/>
      <c r="E51" s="44"/>
    </row>
    <row r="52" spans="2:6" x14ac:dyDescent="0.25">
      <c r="B52" s="43"/>
      <c r="C52" s="221"/>
      <c r="D52" s="43"/>
      <c r="E52" s="43"/>
    </row>
    <row r="53" spans="2:6" x14ac:dyDescent="0.25">
      <c r="B53" s="43"/>
      <c r="C53" s="43"/>
      <c r="D53" s="43"/>
      <c r="E53" s="43"/>
    </row>
  </sheetData>
  <mergeCells count="2">
    <mergeCell ref="B2:E2"/>
    <mergeCell ref="F2:J2"/>
  </mergeCells>
  <pageMargins left="0.7" right="0.7" top="0.75" bottom="0.75" header="0.3" footer="0.3"/>
  <ignoredErrors>
    <ignoredError sqref="F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I18"/>
  <sheetViews>
    <sheetView showGridLines="0" zoomScale="85" zoomScaleNormal="85" workbookViewId="0">
      <selection activeCell="F18" sqref="F18"/>
    </sheetView>
  </sheetViews>
  <sheetFormatPr defaultRowHeight="12" x14ac:dyDescent="0.25"/>
  <cols>
    <col min="1" max="1" width="74.44140625" style="3" customWidth="1"/>
    <col min="2" max="10" width="11.6640625" style="3" customWidth="1"/>
    <col min="11" max="16384" width="8.88671875" style="3"/>
  </cols>
  <sheetData>
    <row r="1" spans="1:9" ht="15" customHeight="1" thickBot="1" x14ac:dyDescent="0.3">
      <c r="A1" s="566"/>
      <c r="B1" s="566"/>
      <c r="C1" s="566"/>
      <c r="D1" s="566"/>
      <c r="E1" s="566"/>
    </row>
    <row r="2" spans="1:9" ht="15" customHeight="1" thickBot="1" x14ac:dyDescent="0.3">
      <c r="A2" s="49"/>
      <c r="B2" s="45">
        <v>2023</v>
      </c>
      <c r="C2" s="46">
        <v>2024</v>
      </c>
      <c r="D2" s="47">
        <v>2025</v>
      </c>
      <c r="E2" s="229">
        <v>2026</v>
      </c>
      <c r="F2" s="157">
        <v>2027</v>
      </c>
      <c r="G2" s="157">
        <v>2028</v>
      </c>
      <c r="H2" s="157">
        <v>2029</v>
      </c>
      <c r="I2" s="161">
        <v>2030</v>
      </c>
    </row>
    <row r="3" spans="1:9" ht="16.2" customHeight="1" x14ac:dyDescent="0.25">
      <c r="A3" s="460" t="s">
        <v>244</v>
      </c>
      <c r="B3" s="178">
        <v>1252048</v>
      </c>
      <c r="C3" s="177">
        <v>1521877</v>
      </c>
      <c r="D3" s="185">
        <v>1596919</v>
      </c>
      <c r="E3" s="456">
        <f>'Income Statement'!F19</f>
        <v>1708524.4576073738</v>
      </c>
      <c r="F3" s="457">
        <f>'Income Statement'!G19</f>
        <v>1792367.2503608379</v>
      </c>
      <c r="G3" s="457">
        <f>'Income Statement'!H19</f>
        <v>1880968.1540056407</v>
      </c>
      <c r="H3" s="457">
        <f>'Income Statement'!I19</f>
        <v>1976279.0854713535</v>
      </c>
      <c r="I3" s="458">
        <f>'Income Statement'!J19</f>
        <v>2078682.1859212324</v>
      </c>
    </row>
    <row r="4" spans="1:9" ht="16.2" customHeight="1" thickBot="1" x14ac:dyDescent="0.3">
      <c r="A4" s="461" t="s">
        <v>139</v>
      </c>
      <c r="B4" s="191">
        <v>181511</v>
      </c>
      <c r="C4" s="176">
        <v>179992</v>
      </c>
      <c r="D4" s="193">
        <v>178321</v>
      </c>
      <c r="E4" s="475">
        <f>E12</f>
        <v>176717.56481754503</v>
      </c>
      <c r="F4" s="475">
        <f t="shared" ref="F4:I4" si="0">F12</f>
        <v>175128.5633439144</v>
      </c>
      <c r="G4" s="475">
        <f t="shared" si="0"/>
        <v>173553.86565059418</v>
      </c>
      <c r="H4" s="475">
        <f t="shared" si="0"/>
        <v>171993.34297865332</v>
      </c>
      <c r="I4" s="475">
        <f t="shared" si="0"/>
        <v>170446.86772821541</v>
      </c>
    </row>
    <row r="5" spans="1:9" ht="25.2" customHeight="1" thickBot="1" x14ac:dyDescent="0.3">
      <c r="A5" s="405" t="s">
        <v>245</v>
      </c>
      <c r="B5" s="459">
        <f>B3/B4</f>
        <v>6.8979180325159355</v>
      </c>
      <c r="C5" s="434">
        <f t="shared" ref="C5:I5" si="1">C3/C4</f>
        <v>8.4552480110227126</v>
      </c>
      <c r="D5" s="435">
        <f t="shared" si="1"/>
        <v>8.9553053201810222</v>
      </c>
      <c r="E5" s="459">
        <f t="shared" si="1"/>
        <v>9.668107747927424</v>
      </c>
      <c r="F5" s="434">
        <f t="shared" si="1"/>
        <v>10.234579763216686</v>
      </c>
      <c r="G5" s="434">
        <f t="shared" si="1"/>
        <v>10.837950206148006</v>
      </c>
      <c r="H5" s="434">
        <f t="shared" si="1"/>
        <v>11.49043940448693</v>
      </c>
      <c r="I5" s="435">
        <f t="shared" si="1"/>
        <v>12.195484807827489</v>
      </c>
    </row>
    <row r="6" spans="1:9" ht="16.2" customHeight="1" x14ac:dyDescent="0.25">
      <c r="A6" s="49"/>
      <c r="B6" s="24"/>
      <c r="C6" s="24"/>
      <c r="D6" s="24"/>
      <c r="F6" s="24"/>
    </row>
    <row r="7" spans="1:9" ht="16.2" customHeight="1" thickBot="1" x14ac:dyDescent="0.3">
      <c r="A7" s="50"/>
      <c r="B7" s="44"/>
      <c r="C7" s="44"/>
      <c r="D7" s="44"/>
      <c r="F7" s="44"/>
    </row>
    <row r="8" spans="1:9" ht="16.2" customHeight="1" thickBot="1" x14ac:dyDescent="0.3">
      <c r="A8" s="474" t="s">
        <v>0</v>
      </c>
      <c r="B8" s="425">
        <v>2023</v>
      </c>
      <c r="C8" s="9">
        <v>2024</v>
      </c>
      <c r="D8" s="417">
        <v>2025</v>
      </c>
      <c r="E8" s="229">
        <v>2026</v>
      </c>
      <c r="F8" s="157">
        <v>2027</v>
      </c>
      <c r="G8" s="157">
        <v>2028</v>
      </c>
      <c r="H8" s="157">
        <v>2029</v>
      </c>
      <c r="I8" s="161">
        <v>2030</v>
      </c>
    </row>
    <row r="9" spans="1:9" ht="16.2" customHeight="1" x14ac:dyDescent="0.25">
      <c r="A9" s="460" t="s">
        <v>95</v>
      </c>
      <c r="B9" s="178">
        <v>181220</v>
      </c>
      <c r="C9" s="177">
        <v>179743</v>
      </c>
      <c r="D9" s="185">
        <v>178125</v>
      </c>
      <c r="E9" s="468">
        <f>D9*(1+Assumptions!E62)</f>
        <v>176521.56481754503</v>
      </c>
      <c r="F9" s="469">
        <f>E9*(1+Assumptions!F62)</f>
        <v>174932.5633439144</v>
      </c>
      <c r="G9" s="469">
        <f>F9*(1+Assumptions!G62)</f>
        <v>173357.86565059418</v>
      </c>
      <c r="H9" s="469">
        <f>G9*(1+Assumptions!H62)</f>
        <v>171797.34297865332</v>
      </c>
      <c r="I9" s="470">
        <f>H9*(1+Assumptions!I62)</f>
        <v>170250.86772821541</v>
      </c>
    </row>
    <row r="10" spans="1:9" ht="16.2" customHeight="1" x14ac:dyDescent="0.25">
      <c r="A10" s="462" t="s">
        <v>96</v>
      </c>
      <c r="B10" s="463"/>
      <c r="C10" s="455"/>
      <c r="D10" s="464"/>
      <c r="E10" s="463"/>
      <c r="F10" s="455"/>
      <c r="G10" s="455"/>
      <c r="H10" s="455"/>
      <c r="I10" s="464"/>
    </row>
    <row r="11" spans="1:9" ht="16.2" customHeight="1" thickBot="1" x14ac:dyDescent="0.3">
      <c r="A11" s="461" t="s">
        <v>97</v>
      </c>
      <c r="B11" s="465">
        <v>291</v>
      </c>
      <c r="C11" s="466">
        <v>249</v>
      </c>
      <c r="D11" s="467">
        <v>196</v>
      </c>
      <c r="E11" s="465">
        <v>196</v>
      </c>
      <c r="F11" s="466">
        <v>196</v>
      </c>
      <c r="G11" s="466">
        <v>196</v>
      </c>
      <c r="H11" s="466">
        <v>196</v>
      </c>
      <c r="I11" s="467">
        <v>196</v>
      </c>
    </row>
    <row r="12" spans="1:9" ht="16.2" customHeight="1" thickBot="1" x14ac:dyDescent="0.3">
      <c r="A12" s="405" t="s">
        <v>98</v>
      </c>
      <c r="B12" s="422">
        <f>B11+B9</f>
        <v>181511</v>
      </c>
      <c r="C12" s="19">
        <f t="shared" ref="C12:I12" si="2">C11+C9</f>
        <v>179992</v>
      </c>
      <c r="D12" s="420">
        <f t="shared" si="2"/>
        <v>178321</v>
      </c>
      <c r="E12" s="422">
        <f t="shared" si="2"/>
        <v>176717.56481754503</v>
      </c>
      <c r="F12" s="19">
        <f t="shared" si="2"/>
        <v>175128.5633439144</v>
      </c>
      <c r="G12" s="19">
        <f t="shared" si="2"/>
        <v>173553.86565059418</v>
      </c>
      <c r="H12" s="19">
        <f t="shared" si="2"/>
        <v>171993.34297865332</v>
      </c>
      <c r="I12" s="420">
        <f t="shared" si="2"/>
        <v>170446.86772821541</v>
      </c>
    </row>
    <row r="13" spans="1:9" ht="16.2" customHeight="1" thickBot="1" x14ac:dyDescent="0.3">
      <c r="A13" s="405" t="s">
        <v>48</v>
      </c>
      <c r="B13" s="471">
        <f>B3/B9</f>
        <v>6.9089945922083658</v>
      </c>
      <c r="C13" s="472">
        <f t="shared" ref="C13:I13" si="3">C3/C9</f>
        <v>8.4669611612135096</v>
      </c>
      <c r="D13" s="473">
        <f t="shared" si="3"/>
        <v>8.9651592982456147</v>
      </c>
      <c r="E13" s="471">
        <f t="shared" si="3"/>
        <v>9.6788426919584971</v>
      </c>
      <c r="F13" s="472">
        <f t="shared" si="3"/>
        <v>10.246046911443667</v>
      </c>
      <c r="G13" s="472">
        <f t="shared" si="3"/>
        <v>10.850203692497951</v>
      </c>
      <c r="H13" s="472">
        <f t="shared" si="3"/>
        <v>11.503548606784426</v>
      </c>
      <c r="I13" s="473">
        <f t="shared" si="3"/>
        <v>12.209524765768554</v>
      </c>
    </row>
    <row r="14" spans="1:9" ht="16.05" customHeight="1" x14ac:dyDescent="0.25">
      <c r="E14" s="43"/>
      <c r="F14" s="44"/>
    </row>
    <row r="15" spans="1:9" ht="15.75" customHeight="1" x14ac:dyDescent="0.25">
      <c r="B15" s="252"/>
    </row>
    <row r="16" spans="1:9" ht="16.05" customHeight="1" x14ac:dyDescent="0.25"/>
    <row r="17" ht="16.2" customHeight="1" x14ac:dyDescent="0.25"/>
    <row r="18" ht="16.05" customHeight="1" x14ac:dyDescent="0.25"/>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P32"/>
  <sheetViews>
    <sheetView showGridLines="0" zoomScale="115" zoomScaleNormal="115" workbookViewId="0">
      <selection activeCell="H15" sqref="H15"/>
    </sheetView>
  </sheetViews>
  <sheetFormatPr defaultRowHeight="12" x14ac:dyDescent="0.25"/>
  <cols>
    <col min="1" max="1" width="35.77734375" style="3" customWidth="1"/>
    <col min="2" max="2" width="11.6640625" style="3" customWidth="1"/>
    <col min="3" max="3" width="9.77734375" style="3" customWidth="1"/>
    <col min="4" max="4" width="10.88671875" style="3" customWidth="1"/>
    <col min="5" max="6" width="10.21875" style="3" customWidth="1"/>
    <col min="7" max="7" width="14.88671875" style="3" customWidth="1"/>
    <col min="8" max="8" width="3.33203125" style="3" customWidth="1"/>
    <col min="9" max="9" width="3.109375" style="3" customWidth="1"/>
    <col min="10" max="10" width="3.33203125" style="3" customWidth="1"/>
    <col min="11" max="11" width="11.77734375" style="3" customWidth="1"/>
    <col min="12" max="12" width="18.6640625" style="3" customWidth="1"/>
    <col min="13" max="13" width="0.88671875" style="3" customWidth="1"/>
    <col min="14" max="14" width="10.44140625" style="3" customWidth="1"/>
    <col min="15" max="15" width="3.109375" style="3" customWidth="1"/>
    <col min="16" max="16384" width="8.88671875" style="3"/>
  </cols>
  <sheetData>
    <row r="1" spans="1:16" x14ac:dyDescent="0.25">
      <c r="A1" s="4"/>
      <c r="B1" s="4"/>
      <c r="C1" s="4"/>
      <c r="D1" s="4"/>
      <c r="E1" s="4"/>
      <c r="F1" s="4"/>
      <c r="G1" s="4"/>
      <c r="H1" s="4"/>
      <c r="I1" s="4"/>
      <c r="J1" s="4"/>
      <c r="K1" s="4"/>
      <c r="L1" s="4"/>
      <c r="M1" s="4"/>
      <c r="N1" s="4"/>
      <c r="O1" s="4"/>
    </row>
    <row r="2" spans="1:16" ht="12.6" thickBot="1" x14ac:dyDescent="0.3">
      <c r="A2" s="2"/>
      <c r="B2" s="2"/>
      <c r="C2" s="2"/>
      <c r="D2" s="2"/>
      <c r="E2" s="2"/>
      <c r="F2" s="2"/>
      <c r="G2" s="2"/>
      <c r="H2" s="2"/>
      <c r="I2" s="2"/>
      <c r="J2" s="2"/>
      <c r="K2" s="2"/>
      <c r="L2" s="2"/>
      <c r="M2" s="2"/>
      <c r="N2" s="2"/>
      <c r="O2" s="2"/>
    </row>
    <row r="3" spans="1:16" ht="11.7" customHeight="1" thickBot="1" x14ac:dyDescent="0.3">
      <c r="A3" s="4"/>
      <c r="B3" s="570" t="s">
        <v>4</v>
      </c>
      <c r="C3" s="571"/>
      <c r="D3" s="571"/>
      <c r="E3" s="571"/>
      <c r="F3" s="571"/>
      <c r="G3" s="572"/>
      <c r="H3" s="4"/>
      <c r="I3" s="4"/>
      <c r="J3" s="4"/>
      <c r="K3" s="4"/>
      <c r="L3" s="4"/>
    </row>
    <row r="4" spans="1:16" ht="14.7" customHeight="1" thickBot="1" x14ac:dyDescent="0.3">
      <c r="A4" s="48"/>
      <c r="B4" s="573">
        <v>2024</v>
      </c>
      <c r="C4" s="574"/>
      <c r="D4" s="575"/>
      <c r="E4" s="573">
        <v>2025</v>
      </c>
      <c r="F4" s="574"/>
      <c r="G4" s="575"/>
    </row>
    <row r="5" spans="1:16" ht="23.7" customHeight="1" thickBot="1" x14ac:dyDescent="0.3">
      <c r="A5" s="48"/>
      <c r="B5" s="5" t="s">
        <v>128</v>
      </c>
      <c r="C5" s="6" t="s">
        <v>129</v>
      </c>
      <c r="D5" s="7" t="s">
        <v>101</v>
      </c>
      <c r="E5" s="5" t="s">
        <v>128</v>
      </c>
      <c r="F5" s="6" t="s">
        <v>129</v>
      </c>
      <c r="G5" s="7" t="s">
        <v>101</v>
      </c>
    </row>
    <row r="6" spans="1:16" ht="14.7" customHeight="1" thickBot="1" x14ac:dyDescent="0.3">
      <c r="A6" s="48"/>
      <c r="B6" s="567" t="s">
        <v>2</v>
      </c>
      <c r="C6" s="568"/>
      <c r="D6" s="568"/>
      <c r="E6" s="568"/>
      <c r="F6" s="568"/>
      <c r="G6" s="569"/>
    </row>
    <row r="7" spans="1:16" ht="13.95" customHeight="1" x14ac:dyDescent="0.25">
      <c r="A7" s="110" t="s">
        <v>130</v>
      </c>
      <c r="B7" s="178">
        <v>649173</v>
      </c>
      <c r="C7" s="177">
        <v>693082</v>
      </c>
      <c r="D7" s="185">
        <v>1342255</v>
      </c>
      <c r="E7" s="178">
        <v>669185</v>
      </c>
      <c r="F7" s="177">
        <v>619205</v>
      </c>
      <c r="G7" s="185">
        <v>1288390</v>
      </c>
    </row>
    <row r="8" spans="1:16" ht="14.7" customHeight="1" x14ac:dyDescent="0.25">
      <c r="A8" s="111" t="s">
        <v>131</v>
      </c>
      <c r="B8" s="189">
        <v>459056</v>
      </c>
      <c r="C8" s="175">
        <v>953917</v>
      </c>
      <c r="D8" s="190">
        <v>1412973</v>
      </c>
      <c r="E8" s="189">
        <v>12368</v>
      </c>
      <c r="F8" s="175">
        <v>946907</v>
      </c>
      <c r="G8" s="190">
        <v>959275</v>
      </c>
    </row>
    <row r="9" spans="1:16" ht="23.7" customHeight="1" x14ac:dyDescent="0.25">
      <c r="A9" s="111" t="s">
        <v>132</v>
      </c>
      <c r="B9" s="189">
        <v>143800</v>
      </c>
      <c r="C9" s="175">
        <v>270833</v>
      </c>
      <c r="D9" s="190">
        <v>414633</v>
      </c>
      <c r="E9" s="189">
        <v>203021</v>
      </c>
      <c r="F9" s="175">
        <v>225000</v>
      </c>
      <c r="G9" s="190">
        <v>428021</v>
      </c>
    </row>
    <row r="10" spans="1:16" ht="14.7" customHeight="1" x14ac:dyDescent="0.25">
      <c r="A10" s="111" t="s">
        <v>133</v>
      </c>
      <c r="B10" s="189">
        <v>26491</v>
      </c>
      <c r="C10" s="175">
        <v>99779</v>
      </c>
      <c r="D10" s="190">
        <v>126270</v>
      </c>
      <c r="E10" s="189">
        <v>31348</v>
      </c>
      <c r="F10" s="175">
        <v>130799</v>
      </c>
      <c r="G10" s="190">
        <v>162147</v>
      </c>
    </row>
    <row r="11" spans="1:16" ht="15.45" customHeight="1" thickBot="1" x14ac:dyDescent="0.3">
      <c r="A11" s="112" t="s">
        <v>134</v>
      </c>
      <c r="B11" s="191">
        <v>55757</v>
      </c>
      <c r="C11" s="192">
        <v>0</v>
      </c>
      <c r="D11" s="193">
        <v>55757</v>
      </c>
      <c r="E11" s="191">
        <v>46387</v>
      </c>
      <c r="F11" s="192">
        <v>0</v>
      </c>
      <c r="G11" s="193">
        <v>46387</v>
      </c>
    </row>
    <row r="12" spans="1:16" ht="14.7" customHeight="1" thickBot="1" x14ac:dyDescent="0.3">
      <c r="A12" s="22" t="s">
        <v>135</v>
      </c>
      <c r="B12" s="113">
        <f>SUM(B7:B11)</f>
        <v>1334277</v>
      </c>
      <c r="C12" s="113">
        <f t="shared" ref="C12:F12" si="0">SUM(C7:C11)</f>
        <v>2017611</v>
      </c>
      <c r="D12" s="113">
        <f t="shared" si="0"/>
        <v>3351888</v>
      </c>
      <c r="E12" s="113">
        <f t="shared" si="0"/>
        <v>962309</v>
      </c>
      <c r="F12" s="113">
        <f t="shared" si="0"/>
        <v>1921911</v>
      </c>
      <c r="G12" s="113">
        <f>SUM(G7:G11)</f>
        <v>2884220</v>
      </c>
    </row>
    <row r="13" spans="1:16" ht="22.05" customHeight="1" x14ac:dyDescent="0.25">
      <c r="A13" s="2"/>
      <c r="B13" s="174"/>
      <c r="C13" s="174"/>
      <c r="D13" s="174"/>
      <c r="E13" s="174"/>
      <c r="F13" s="174"/>
      <c r="G13" s="174"/>
      <c r="H13" s="107"/>
      <c r="I13" s="2"/>
      <c r="J13" s="2"/>
      <c r="K13" s="2"/>
      <c r="L13" s="2"/>
      <c r="M13" s="2"/>
      <c r="N13" s="2"/>
      <c r="O13" s="2"/>
    </row>
    <row r="14" spans="1:16" ht="11.7" customHeight="1" x14ac:dyDescent="0.25">
      <c r="A14" s="4"/>
      <c r="B14" s="4"/>
      <c r="C14" s="4"/>
      <c r="D14" s="4"/>
      <c r="E14" s="4"/>
      <c r="F14" s="4"/>
      <c r="G14" s="4"/>
      <c r="H14" s="4"/>
      <c r="I14" s="4"/>
      <c r="J14" s="4"/>
      <c r="K14" s="4"/>
      <c r="L14" s="4"/>
      <c r="M14" s="114"/>
      <c r="N14" s="114"/>
    </row>
    <row r="15" spans="1:16" ht="32.700000000000003" customHeight="1" x14ac:dyDescent="0.25">
      <c r="A15" s="37"/>
      <c r="E15" s="37"/>
      <c r="F15" s="37"/>
      <c r="G15" s="4"/>
      <c r="H15" s="4"/>
      <c r="I15" s="4"/>
      <c r="J15" s="37"/>
      <c r="K15" s="37"/>
      <c r="L15" s="99"/>
      <c r="M15" s="4"/>
      <c r="N15" s="4"/>
      <c r="O15" s="115"/>
      <c r="P15" s="115"/>
    </row>
    <row r="16" spans="1:16" ht="14.7" customHeight="1" x14ac:dyDescent="0.25">
      <c r="A16" s="24"/>
      <c r="E16" s="24"/>
      <c r="F16" s="24"/>
      <c r="G16" s="41"/>
      <c r="H16" s="41"/>
      <c r="I16" s="41"/>
      <c r="J16" s="41"/>
      <c r="K16" s="41"/>
      <c r="L16" s="8"/>
      <c r="M16" s="24"/>
      <c r="N16" s="24"/>
      <c r="O16" s="115"/>
      <c r="P16" s="115"/>
    </row>
    <row r="17" spans="1:16" ht="13.95" customHeight="1" x14ac:dyDescent="0.25">
      <c r="A17" s="37"/>
      <c r="E17" s="116"/>
      <c r="F17" s="116"/>
      <c r="G17" s="117"/>
      <c r="H17" s="117"/>
      <c r="I17" s="117"/>
      <c r="J17" s="117"/>
      <c r="K17" s="117"/>
      <c r="L17" s="118"/>
      <c r="M17" s="116"/>
      <c r="N17" s="116"/>
      <c r="O17" s="115"/>
      <c r="P17" s="115"/>
    </row>
    <row r="18" spans="1:16" ht="14.7" customHeight="1" x14ac:dyDescent="0.25">
      <c r="A18" s="37"/>
      <c r="E18" s="37"/>
      <c r="F18" s="37"/>
      <c r="G18" s="117"/>
      <c r="H18" s="117"/>
      <c r="I18" s="117"/>
      <c r="J18" s="117"/>
      <c r="K18" s="117"/>
      <c r="L18" s="69"/>
      <c r="M18" s="116"/>
      <c r="N18" s="116"/>
      <c r="O18" s="115"/>
      <c r="P18" s="115"/>
    </row>
    <row r="19" spans="1:16" ht="23.7" customHeight="1" x14ac:dyDescent="0.25">
      <c r="A19" s="37"/>
      <c r="E19" s="116"/>
      <c r="F19" s="116"/>
      <c r="G19" s="117"/>
      <c r="H19" s="117"/>
      <c r="I19" s="117"/>
      <c r="J19" s="117"/>
      <c r="K19" s="117"/>
      <c r="L19" s="118"/>
      <c r="M19" s="116"/>
      <c r="N19" s="116"/>
      <c r="O19" s="115"/>
      <c r="P19" s="115"/>
    </row>
    <row r="20" spans="1:16" ht="14.7" customHeight="1" x14ac:dyDescent="0.25">
      <c r="A20" s="37"/>
      <c r="E20" s="37"/>
      <c r="F20" s="37"/>
      <c r="G20" s="117"/>
      <c r="H20" s="117"/>
      <c r="I20" s="117"/>
      <c r="J20" s="116"/>
      <c r="K20" s="116"/>
      <c r="L20" s="118"/>
      <c r="M20" s="116"/>
      <c r="N20" s="116"/>
      <c r="O20" s="115"/>
      <c r="P20" s="115"/>
    </row>
    <row r="21" spans="1:16" ht="15.45" customHeight="1" x14ac:dyDescent="0.25">
      <c r="A21" s="37"/>
      <c r="E21" s="116"/>
      <c r="F21" s="116"/>
      <c r="G21" s="117"/>
      <c r="H21" s="117"/>
      <c r="I21" s="117"/>
      <c r="J21" s="37"/>
      <c r="K21" s="37"/>
      <c r="L21" s="118"/>
      <c r="M21" s="116"/>
      <c r="N21" s="116"/>
      <c r="O21" s="115"/>
      <c r="P21" s="115"/>
    </row>
    <row r="22" spans="1:16" ht="14.7" customHeight="1" x14ac:dyDescent="0.25">
      <c r="A22" s="4"/>
      <c r="E22" s="119"/>
      <c r="F22" s="119"/>
      <c r="G22" s="120"/>
      <c r="H22" s="120"/>
      <c r="I22" s="120"/>
      <c r="J22" s="119"/>
      <c r="K22" s="119"/>
      <c r="L22" s="121"/>
      <c r="M22" s="119"/>
      <c r="N22" s="119"/>
      <c r="O22" s="115"/>
      <c r="P22" s="115"/>
    </row>
    <row r="23" spans="1:16" ht="11.7" customHeight="1" x14ac:dyDescent="0.25">
      <c r="A23" s="4"/>
      <c r="B23" s="4"/>
      <c r="C23" s="4"/>
      <c r="D23" s="4"/>
      <c r="E23" s="4"/>
      <c r="F23" s="4"/>
      <c r="G23" s="4"/>
      <c r="H23" s="4"/>
      <c r="I23" s="4"/>
      <c r="J23" s="4"/>
      <c r="K23" s="4"/>
      <c r="L23" s="122"/>
      <c r="M23" s="122"/>
      <c r="N23" s="123"/>
      <c r="O23" s="115"/>
      <c r="P23" s="115"/>
    </row>
    <row r="24" spans="1:16" ht="32.700000000000003" customHeight="1" x14ac:dyDescent="0.25">
      <c r="A24" s="61"/>
      <c r="B24" s="4"/>
      <c r="C24" s="4"/>
      <c r="D24" s="37"/>
      <c r="E24" s="37"/>
      <c r="F24" s="4"/>
      <c r="G24" s="4"/>
      <c r="H24" s="4"/>
      <c r="I24" s="37"/>
      <c r="J24" s="37"/>
      <c r="K24" s="37"/>
      <c r="L24" s="4"/>
      <c r="M24" s="4"/>
      <c r="N24" s="91"/>
      <c r="O24" s="115"/>
      <c r="P24" s="115"/>
    </row>
    <row r="25" spans="1:16" ht="14.7" customHeight="1" x14ac:dyDescent="0.25">
      <c r="A25" s="41"/>
      <c r="B25" s="41"/>
      <c r="C25" s="41"/>
      <c r="D25" s="41"/>
      <c r="E25" s="41"/>
      <c r="F25" s="41"/>
      <c r="G25" s="41"/>
      <c r="H25" s="41"/>
      <c r="I25" s="41"/>
      <c r="J25" s="41"/>
      <c r="K25" s="41"/>
      <c r="L25" s="41"/>
      <c r="M25" s="41"/>
      <c r="N25" s="41"/>
      <c r="O25" s="115"/>
      <c r="P25" s="115"/>
    </row>
    <row r="26" spans="1:16" ht="13.95" customHeight="1" x14ac:dyDescent="0.25">
      <c r="A26" s="61"/>
      <c r="B26" s="116"/>
      <c r="C26" s="116"/>
      <c r="D26" s="116"/>
      <c r="E26" s="116"/>
      <c r="F26" s="117"/>
      <c r="G26" s="117"/>
      <c r="H26" s="117"/>
      <c r="I26" s="124"/>
      <c r="J26" s="124"/>
      <c r="K26" s="124"/>
      <c r="L26" s="116"/>
      <c r="M26" s="116"/>
      <c r="N26" s="125"/>
      <c r="O26" s="115"/>
      <c r="P26" s="115"/>
    </row>
    <row r="27" spans="1:16" ht="14.7" customHeight="1" x14ac:dyDescent="0.25">
      <c r="A27" s="61"/>
      <c r="B27" s="116"/>
      <c r="C27" s="116"/>
      <c r="D27" s="116"/>
      <c r="E27" s="116"/>
      <c r="F27" s="37"/>
      <c r="G27" s="37"/>
      <c r="H27" s="37"/>
      <c r="I27" s="116"/>
      <c r="J27" s="116"/>
      <c r="K27" s="116"/>
      <c r="L27" s="37"/>
      <c r="M27" s="37"/>
      <c r="N27" s="125"/>
      <c r="O27" s="115"/>
      <c r="P27" s="115"/>
    </row>
    <row r="28" spans="1:16" ht="23.7" customHeight="1" x14ac:dyDescent="0.25">
      <c r="A28" s="61"/>
      <c r="B28" s="116"/>
      <c r="C28" s="116"/>
      <c r="D28" s="116"/>
      <c r="E28" s="116"/>
      <c r="F28" s="117"/>
      <c r="G28" s="117"/>
      <c r="H28" s="117"/>
      <c r="I28" s="126"/>
      <c r="J28" s="126"/>
      <c r="K28" s="126"/>
      <c r="L28" s="116"/>
      <c r="M28" s="116"/>
      <c r="N28" s="125"/>
      <c r="O28" s="115"/>
      <c r="P28" s="115"/>
    </row>
    <row r="29" spans="1:16" ht="14.7" customHeight="1" x14ac:dyDescent="0.25">
      <c r="A29" s="61"/>
      <c r="B29" s="116"/>
      <c r="C29" s="116"/>
      <c r="D29" s="37"/>
      <c r="E29" s="37"/>
      <c r="F29" s="117"/>
      <c r="G29" s="117"/>
      <c r="H29" s="117"/>
      <c r="I29" s="116"/>
      <c r="J29" s="116"/>
      <c r="K29" s="116"/>
      <c r="L29" s="116"/>
      <c r="M29" s="116"/>
      <c r="N29" s="125"/>
      <c r="O29" s="115"/>
      <c r="P29" s="115"/>
    </row>
    <row r="30" spans="1:16" ht="15.45" customHeight="1" x14ac:dyDescent="0.25">
      <c r="A30" s="61"/>
      <c r="B30" s="116"/>
      <c r="C30" s="116"/>
      <c r="D30" s="116"/>
      <c r="E30" s="116"/>
      <c r="F30" s="117"/>
      <c r="G30" s="117"/>
      <c r="H30" s="117"/>
      <c r="I30" s="37"/>
      <c r="J30" s="37"/>
      <c r="K30" s="37"/>
      <c r="L30" s="116"/>
      <c r="M30" s="116"/>
      <c r="N30" s="125"/>
      <c r="O30" s="115"/>
      <c r="P30" s="115"/>
    </row>
    <row r="31" spans="1:16" ht="14.7" customHeight="1" x14ac:dyDescent="0.25">
      <c r="A31" s="99"/>
      <c r="B31" s="119"/>
      <c r="C31" s="119"/>
      <c r="D31" s="119"/>
      <c r="E31" s="119"/>
      <c r="F31" s="120"/>
      <c r="G31" s="120"/>
      <c r="H31" s="120"/>
      <c r="I31" s="119"/>
      <c r="J31" s="119"/>
      <c r="K31" s="119"/>
      <c r="L31" s="119"/>
      <c r="M31" s="119"/>
      <c r="N31" s="127"/>
      <c r="O31" s="115"/>
      <c r="P31" s="115"/>
    </row>
    <row r="32" spans="1:16" ht="37.5" customHeight="1" x14ac:dyDescent="0.25">
      <c r="A32" s="37"/>
      <c r="B32" s="37"/>
      <c r="C32" s="37"/>
      <c r="D32" s="37"/>
      <c r="E32" s="37"/>
      <c r="F32" s="37"/>
      <c r="G32" s="37"/>
      <c r="H32" s="37"/>
      <c r="I32" s="37"/>
      <c r="J32" s="37"/>
      <c r="K32" s="37"/>
      <c r="L32" s="37"/>
      <c r="M32" s="37"/>
      <c r="N32" s="37"/>
      <c r="O32" s="37"/>
      <c r="P32" s="115"/>
    </row>
  </sheetData>
  <mergeCells count="4">
    <mergeCell ref="B6:G6"/>
    <mergeCell ref="B3:G3"/>
    <mergeCell ref="B4:D4"/>
    <mergeCell ref="E4:G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347B-19A4-4813-949D-D3BF2E527E9E}">
  <sheetPr>
    <tabColor theme="5" tint="0.79998168889431442"/>
  </sheetPr>
  <dimension ref="A3:K15"/>
  <sheetViews>
    <sheetView showGridLines="0" zoomScale="130" zoomScaleNormal="130" workbookViewId="0">
      <selection activeCell="I25" sqref="I25"/>
    </sheetView>
  </sheetViews>
  <sheetFormatPr defaultRowHeight="12" x14ac:dyDescent="0.25"/>
  <cols>
    <col min="1" max="1" width="17.21875" style="3" customWidth="1"/>
    <col min="2" max="2" width="8.88671875" style="3" customWidth="1"/>
    <col min="3" max="3" width="8.88671875" style="3"/>
    <col min="4" max="4" width="10.21875" style="3" customWidth="1"/>
    <col min="5" max="16384" width="8.88671875" style="3"/>
  </cols>
  <sheetData>
    <row r="3" spans="1:11" ht="12.6" thickBot="1" x14ac:dyDescent="0.3">
      <c r="A3" s="3" t="s">
        <v>138</v>
      </c>
    </row>
    <row r="4" spans="1:11" ht="12.6" thickBot="1" x14ac:dyDescent="0.3">
      <c r="B4" s="156">
        <v>2023</v>
      </c>
      <c r="C4" s="157">
        <v>2024</v>
      </c>
      <c r="D4" s="158">
        <v>2025</v>
      </c>
    </row>
    <row r="5" spans="1:11" x14ac:dyDescent="0.25">
      <c r="A5" s="159" t="s">
        <v>103</v>
      </c>
      <c r="B5" s="178">
        <v>487148</v>
      </c>
      <c r="C5" s="179">
        <v>506874</v>
      </c>
      <c r="D5" s="180">
        <v>457976</v>
      </c>
      <c r="K5" s="62"/>
    </row>
    <row r="6" spans="1:11" ht="12.6" thickBot="1" x14ac:dyDescent="0.3">
      <c r="A6" s="160" t="s">
        <v>110</v>
      </c>
      <c r="B6" s="181">
        <v>372101</v>
      </c>
      <c r="C6" s="182">
        <v>367139</v>
      </c>
      <c r="D6" s="183">
        <v>363202</v>
      </c>
      <c r="J6" s="61"/>
      <c r="K6" s="62"/>
    </row>
    <row r="7" spans="1:11" ht="12.6" thickBot="1" x14ac:dyDescent="0.3">
      <c r="B7" s="43"/>
      <c r="C7" s="43"/>
      <c r="D7" s="43"/>
      <c r="J7" s="61"/>
      <c r="K7" s="62"/>
    </row>
    <row r="8" spans="1:11" ht="12.6" thickBot="1" x14ac:dyDescent="0.3">
      <c r="A8" s="3" t="s">
        <v>137</v>
      </c>
      <c r="B8" s="156">
        <v>2023</v>
      </c>
      <c r="C8" s="157">
        <v>2024</v>
      </c>
      <c r="D8" s="161">
        <v>2025</v>
      </c>
    </row>
    <row r="9" spans="1:11" x14ac:dyDescent="0.25">
      <c r="A9" s="159" t="s">
        <v>103</v>
      </c>
      <c r="B9" s="184">
        <v>423815</v>
      </c>
      <c r="C9" s="177">
        <v>556956</v>
      </c>
      <c r="D9" s="185">
        <v>554916</v>
      </c>
      <c r="F9" s="164"/>
      <c r="G9" s="164"/>
      <c r="H9" s="134"/>
    </row>
    <row r="10" spans="1:11" ht="12.6" thickBot="1" x14ac:dyDescent="0.3">
      <c r="A10" s="160" t="s">
        <v>126</v>
      </c>
      <c r="B10" s="186">
        <v>290204</v>
      </c>
      <c r="C10" s="187">
        <v>299638</v>
      </c>
      <c r="D10" s="183">
        <v>298734</v>
      </c>
    </row>
    <row r="11" spans="1:11" x14ac:dyDescent="0.25">
      <c r="B11" s="43"/>
      <c r="C11" s="43"/>
      <c r="D11" s="43"/>
      <c r="F11" s="149"/>
      <c r="G11" s="149"/>
      <c r="H11" s="165"/>
    </row>
    <row r="12" spans="1:11" ht="12.6" thickBot="1" x14ac:dyDescent="0.3">
      <c r="A12" s="3" t="s">
        <v>141</v>
      </c>
      <c r="K12" s="149"/>
    </row>
    <row r="13" spans="1:11" x14ac:dyDescent="0.25">
      <c r="A13" s="159" t="s">
        <v>142</v>
      </c>
      <c r="B13" s="162">
        <f>B9+B5</f>
        <v>910963</v>
      </c>
      <c r="C13" s="162">
        <f t="shared" ref="C13:D13" si="0">C9+C5</f>
        <v>1063830</v>
      </c>
      <c r="D13" s="162">
        <f t="shared" si="0"/>
        <v>1012892</v>
      </c>
      <c r="F13" s="149"/>
    </row>
    <row r="14" spans="1:11" ht="12.6" thickBot="1" x14ac:dyDescent="0.3">
      <c r="A14" s="160" t="s">
        <v>143</v>
      </c>
      <c r="B14" s="163">
        <f>B10+B6</f>
        <v>662305</v>
      </c>
      <c r="C14" s="163">
        <f t="shared" ref="C14:D14" si="1">C10+C6</f>
        <v>666777</v>
      </c>
      <c r="D14" s="163">
        <f t="shared" si="1"/>
        <v>661936</v>
      </c>
    </row>
    <row r="15" spans="1:11" x14ac:dyDescent="0.25">
      <c r="F15" s="164"/>
      <c r="G15" s="164"/>
      <c r="H15" s="133"/>
      <c r="K15" s="1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I24"/>
  <sheetViews>
    <sheetView showGridLines="0" zoomScaleNormal="100" workbookViewId="0">
      <selection activeCell="G21" sqref="G21"/>
    </sheetView>
  </sheetViews>
  <sheetFormatPr defaultRowHeight="12" x14ac:dyDescent="0.25"/>
  <cols>
    <col min="1" max="1" width="32.44140625" style="3" customWidth="1"/>
    <col min="2" max="2" width="12.21875" style="3" customWidth="1"/>
    <col min="3" max="3" width="15.109375" style="3" customWidth="1"/>
    <col min="4" max="4" width="14.77734375" style="3" customWidth="1"/>
    <col min="5" max="5" width="10.44140625" style="3" customWidth="1"/>
    <col min="6" max="6" width="10.33203125" style="3" customWidth="1"/>
    <col min="7" max="16384" width="8.88671875" style="3"/>
  </cols>
  <sheetData>
    <row r="1" spans="1:9" ht="13.2" customHeight="1" x14ac:dyDescent="0.25">
      <c r="A1" s="29"/>
      <c r="B1" s="29"/>
      <c r="C1" s="29"/>
      <c r="D1" s="29"/>
      <c r="E1" s="29"/>
      <c r="F1" s="29"/>
      <c r="G1" s="29"/>
      <c r="H1" s="29"/>
      <c r="I1" s="29"/>
    </row>
    <row r="2" spans="1:9" ht="22.05" customHeight="1" x14ac:dyDescent="0.25">
      <c r="A2" s="29"/>
      <c r="B2" s="29"/>
      <c r="C2" s="29"/>
      <c r="D2" s="29"/>
      <c r="E2" s="29"/>
      <c r="F2" s="29"/>
      <c r="G2" s="29"/>
      <c r="H2" s="29"/>
      <c r="I2" s="29"/>
    </row>
    <row r="3" spans="1:9" ht="11.7" customHeight="1" thickBot="1" x14ac:dyDescent="0.3">
      <c r="A3" s="4"/>
      <c r="B3" s="4"/>
      <c r="C3" s="1" t="s">
        <v>1</v>
      </c>
      <c r="D3" s="4"/>
      <c r="E3" s="4"/>
      <c r="F3" s="29"/>
      <c r="G3" s="29"/>
      <c r="H3" s="29"/>
      <c r="I3" s="29"/>
    </row>
    <row r="4" spans="1:9" ht="16.05" customHeight="1" thickBot="1" x14ac:dyDescent="0.3">
      <c r="B4" s="45">
        <v>2023</v>
      </c>
      <c r="C4" s="46">
        <v>2024</v>
      </c>
      <c r="D4" s="47">
        <v>2025</v>
      </c>
      <c r="F4" s="29"/>
      <c r="G4" s="29"/>
      <c r="H4" s="29"/>
      <c r="I4" s="29"/>
    </row>
    <row r="5" spans="1:9" ht="16.05" customHeight="1" thickBot="1" x14ac:dyDescent="0.3">
      <c r="A5" s="48"/>
      <c r="B5" s="576" t="s">
        <v>2</v>
      </c>
      <c r="C5" s="577"/>
      <c r="D5" s="578"/>
      <c r="F5" s="29"/>
      <c r="G5" s="29"/>
      <c r="H5" s="29"/>
      <c r="I5" s="29"/>
    </row>
    <row r="6" spans="1:9" ht="15.75" customHeight="1" x14ac:dyDescent="0.25">
      <c r="A6" s="150" t="s">
        <v>91</v>
      </c>
      <c r="B6" s="188">
        <v>347162</v>
      </c>
      <c r="C6" s="177">
        <v>383481</v>
      </c>
      <c r="D6" s="188">
        <v>360443</v>
      </c>
      <c r="F6" s="29"/>
      <c r="G6" s="29"/>
      <c r="H6" s="29"/>
      <c r="I6" s="29"/>
    </row>
    <row r="7" spans="1:9" ht="16.05" customHeight="1" x14ac:dyDescent="0.25">
      <c r="A7" s="151" t="s">
        <v>92</v>
      </c>
      <c r="B7" s="194">
        <v>-4541</v>
      </c>
      <c r="C7" s="195">
        <v>-17483</v>
      </c>
      <c r="D7" s="196">
        <v>106556</v>
      </c>
      <c r="F7" s="29"/>
      <c r="G7" s="29"/>
      <c r="H7" s="29"/>
      <c r="I7" s="29"/>
    </row>
    <row r="8" spans="1:9" ht="16.2" customHeight="1" thickBot="1" x14ac:dyDescent="0.3">
      <c r="A8" s="152" t="s">
        <v>93</v>
      </c>
      <c r="B8" s="197">
        <v>2276</v>
      </c>
      <c r="C8" s="198">
        <v>-2955</v>
      </c>
      <c r="D8" s="199">
        <v>-2880</v>
      </c>
      <c r="F8" s="29"/>
      <c r="G8" s="29"/>
      <c r="H8" s="29"/>
      <c r="I8" s="29"/>
    </row>
    <row r="9" spans="1:9" ht="16.05" customHeight="1" thickBot="1" x14ac:dyDescent="0.3">
      <c r="A9" s="153" t="s">
        <v>94</v>
      </c>
      <c r="B9" s="154">
        <f>SUM(B6:B8)</f>
        <v>344897</v>
      </c>
      <c r="C9" s="154">
        <f t="shared" ref="C9:D9" si="0">SUM(C6:C8)</f>
        <v>363043</v>
      </c>
      <c r="D9" s="154">
        <f t="shared" si="0"/>
        <v>464119</v>
      </c>
      <c r="F9" s="29"/>
      <c r="G9" s="29"/>
      <c r="H9" s="29"/>
      <c r="I9" s="29"/>
    </row>
    <row r="10" spans="1:9" ht="15.75" customHeight="1" x14ac:dyDescent="0.25">
      <c r="F10" s="29"/>
      <c r="G10" s="29"/>
      <c r="H10" s="29"/>
      <c r="I10" s="29"/>
    </row>
    <row r="11" spans="1:9" ht="16.05" customHeight="1" x14ac:dyDescent="0.25">
      <c r="B11" s="149"/>
      <c r="F11" s="29"/>
      <c r="G11" s="29"/>
      <c r="H11" s="29"/>
      <c r="I11" s="29"/>
    </row>
    <row r="12" spans="1:9" ht="16.2" customHeight="1" x14ac:dyDescent="0.25">
      <c r="F12" s="29"/>
      <c r="G12" s="29"/>
      <c r="H12" s="29"/>
      <c r="I12" s="29"/>
    </row>
    <row r="13" spans="1:9" ht="16.05" customHeight="1" x14ac:dyDescent="0.25">
      <c r="F13" s="29"/>
      <c r="G13" s="29"/>
      <c r="H13" s="29"/>
      <c r="I13" s="29"/>
    </row>
    <row r="14" spans="1:9" ht="16.05" customHeight="1" x14ac:dyDescent="0.25">
      <c r="F14" s="29"/>
      <c r="G14" s="29"/>
      <c r="H14" s="29"/>
      <c r="I14" s="29"/>
    </row>
    <row r="15" spans="1:9" ht="15" customHeight="1" x14ac:dyDescent="0.25">
      <c r="F15" s="29"/>
      <c r="G15" s="29"/>
      <c r="H15" s="29"/>
      <c r="I15" s="29"/>
    </row>
    <row r="16" spans="1:9" ht="11.7" customHeight="1" x14ac:dyDescent="0.25"/>
    <row r="17" spans="1:6" ht="16.05" customHeight="1" x14ac:dyDescent="0.25"/>
    <row r="18" spans="1:6" ht="16.05" customHeight="1" x14ac:dyDescent="0.25"/>
    <row r="19" spans="1:6" ht="15.75" customHeight="1" x14ac:dyDescent="0.25"/>
    <row r="20" spans="1:6" ht="16.05" customHeight="1" x14ac:dyDescent="0.25"/>
    <row r="21" spans="1:6" ht="16.2" customHeight="1" x14ac:dyDescent="0.25"/>
    <row r="22" spans="1:6" ht="16.05" customHeight="1" x14ac:dyDescent="0.25"/>
    <row r="23" spans="1:6" ht="14.4" customHeight="1" x14ac:dyDescent="0.25"/>
    <row r="24" spans="1:6" ht="13.8" customHeight="1" x14ac:dyDescent="0.25">
      <c r="A24" s="51"/>
      <c r="B24" s="2"/>
      <c r="C24" s="2"/>
      <c r="D24" s="2"/>
      <c r="E24" s="2"/>
      <c r="F24" s="2"/>
    </row>
  </sheetData>
  <mergeCells count="1">
    <mergeCell ref="B5:D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zoomScale="115" zoomScaleNormal="115" workbookViewId="0">
      <selection activeCell="E4" sqref="E4"/>
    </sheetView>
  </sheetViews>
  <sheetFormatPr defaultRowHeight="12" x14ac:dyDescent="0.25"/>
  <cols>
    <col min="1" max="1" width="40" style="3" customWidth="1"/>
    <col min="2" max="2" width="14.6640625" style="3" customWidth="1"/>
    <col min="3" max="3" width="9.77734375" style="3" customWidth="1"/>
    <col min="4" max="4" width="15.33203125" style="3" customWidth="1"/>
    <col min="5" max="5" width="12" style="3" customWidth="1"/>
    <col min="6" max="6" width="16.21875" style="3" customWidth="1"/>
    <col min="7" max="7" width="10.21875" style="3" customWidth="1"/>
    <col min="8" max="8" width="3.33203125" style="3" customWidth="1"/>
    <col min="9" max="16384" width="8.88671875" style="3"/>
  </cols>
  <sheetData>
    <row r="1" spans="1:8" ht="19.8" customHeight="1" x14ac:dyDescent="0.25">
      <c r="A1" s="129" t="s">
        <v>119</v>
      </c>
      <c r="B1" s="37"/>
      <c r="C1" s="37"/>
      <c r="D1" s="37"/>
      <c r="E1" s="37"/>
      <c r="F1" s="37"/>
      <c r="G1" s="37"/>
      <c r="H1" s="37"/>
    </row>
    <row r="2" spans="1:8" ht="29.7" customHeight="1" x14ac:dyDescent="0.25">
      <c r="A2" s="51"/>
      <c r="B2" s="130" t="s">
        <v>120</v>
      </c>
      <c r="C2" s="130" t="s">
        <v>121</v>
      </c>
      <c r="D2" s="130" t="s">
        <v>122</v>
      </c>
      <c r="E2" s="130" t="s">
        <v>123</v>
      </c>
      <c r="F2" s="130" t="s">
        <v>124</v>
      </c>
      <c r="G2" s="130" t="s">
        <v>101</v>
      </c>
    </row>
    <row r="3" spans="1:8" ht="16.05" customHeight="1" x14ac:dyDescent="0.25">
      <c r="A3" s="128" t="s">
        <v>55</v>
      </c>
      <c r="B3" s="131"/>
      <c r="C3" s="131"/>
      <c r="D3" s="131"/>
      <c r="E3" s="131"/>
      <c r="F3" s="131"/>
      <c r="G3" s="131"/>
    </row>
    <row r="4" spans="1:8" ht="24.75" customHeight="1" x14ac:dyDescent="0.25">
      <c r="A4" s="57" t="s">
        <v>102</v>
      </c>
      <c r="B4" s="132">
        <v>151229</v>
      </c>
      <c r="C4" s="132">
        <v>523147</v>
      </c>
      <c r="D4" s="132">
        <v>3205733</v>
      </c>
      <c r="E4" s="132">
        <v>265245</v>
      </c>
      <c r="F4" s="132">
        <v>391792</v>
      </c>
      <c r="G4" s="132">
        <v>4537146</v>
      </c>
    </row>
    <row r="5" spans="1:8" ht="16.05" customHeight="1" x14ac:dyDescent="0.25">
      <c r="A5" s="61" t="s">
        <v>103</v>
      </c>
      <c r="B5" s="133">
        <v>1565</v>
      </c>
      <c r="C5" s="133">
        <v>56504</v>
      </c>
      <c r="D5" s="133">
        <v>105175</v>
      </c>
      <c r="E5" s="133">
        <v>60804</v>
      </c>
      <c r="F5" s="133">
        <v>332908</v>
      </c>
      <c r="G5" s="133">
        <v>556956</v>
      </c>
    </row>
    <row r="6" spans="1:8" ht="16.05" customHeight="1" x14ac:dyDescent="0.25">
      <c r="A6" s="61" t="s">
        <v>104</v>
      </c>
      <c r="B6" s="25" t="s">
        <v>3</v>
      </c>
      <c r="C6" s="134">
        <v>-2853</v>
      </c>
      <c r="D6" s="134">
        <v>-75491</v>
      </c>
      <c r="E6" s="134">
        <v>-7039</v>
      </c>
      <c r="F6" s="135">
        <v>-78</v>
      </c>
      <c r="G6" s="134">
        <v>-85461</v>
      </c>
    </row>
    <row r="7" spans="1:8" ht="16.05" customHeight="1" x14ac:dyDescent="0.25">
      <c r="A7" s="61" t="s">
        <v>105</v>
      </c>
      <c r="B7" s="136">
        <v>1</v>
      </c>
      <c r="C7" s="133">
        <v>80119</v>
      </c>
      <c r="D7" s="133">
        <v>116426</v>
      </c>
      <c r="E7" s="134">
        <v>-6600</v>
      </c>
      <c r="F7" s="134">
        <v>-224842</v>
      </c>
      <c r="G7" s="134">
        <v>-34896</v>
      </c>
    </row>
    <row r="8" spans="1:8" ht="25.2" customHeight="1" x14ac:dyDescent="0.25">
      <c r="A8" s="73" t="s">
        <v>106</v>
      </c>
      <c r="B8" s="137">
        <v>18</v>
      </c>
      <c r="C8" s="137">
        <v>509</v>
      </c>
      <c r="D8" s="138">
        <v>-1848</v>
      </c>
      <c r="E8" s="139">
        <v>4459</v>
      </c>
      <c r="F8" s="140">
        <v>-645</v>
      </c>
      <c r="G8" s="139">
        <v>2493</v>
      </c>
    </row>
    <row r="9" spans="1:8" ht="15.75" customHeight="1" x14ac:dyDescent="0.25">
      <c r="A9" s="57" t="s">
        <v>107</v>
      </c>
      <c r="B9" s="132">
        <v>152813</v>
      </c>
      <c r="C9" s="132">
        <v>657426</v>
      </c>
      <c r="D9" s="132">
        <v>3349995</v>
      </c>
      <c r="E9" s="132">
        <v>316869</v>
      </c>
      <c r="F9" s="132">
        <v>499135</v>
      </c>
      <c r="G9" s="132">
        <v>4976238</v>
      </c>
    </row>
    <row r="10" spans="1:8" ht="16.05" customHeight="1" x14ac:dyDescent="0.25">
      <c r="A10" s="61" t="s">
        <v>103</v>
      </c>
      <c r="B10" s="25" t="s">
        <v>3</v>
      </c>
      <c r="C10" s="133">
        <v>27029</v>
      </c>
      <c r="D10" s="133">
        <v>159208</v>
      </c>
      <c r="E10" s="133">
        <v>80565</v>
      </c>
      <c r="F10" s="133">
        <v>288114</v>
      </c>
      <c r="G10" s="133">
        <v>554916</v>
      </c>
    </row>
    <row r="11" spans="1:8" ht="16.05" customHeight="1" x14ac:dyDescent="0.25">
      <c r="A11" s="61" t="s">
        <v>104</v>
      </c>
      <c r="B11" s="25" t="s">
        <v>3</v>
      </c>
      <c r="C11" s="134">
        <v>-2595</v>
      </c>
      <c r="D11" s="134">
        <v>-72851</v>
      </c>
      <c r="E11" s="134">
        <v>-20028</v>
      </c>
      <c r="F11" s="134">
        <v>-1198</v>
      </c>
      <c r="G11" s="134">
        <v>-96672</v>
      </c>
    </row>
    <row r="12" spans="1:8" ht="16.05" customHeight="1" x14ac:dyDescent="0.25">
      <c r="A12" s="61" t="s">
        <v>105</v>
      </c>
      <c r="B12" s="133">
        <v>5353</v>
      </c>
      <c r="C12" s="133">
        <v>14452</v>
      </c>
      <c r="D12" s="133">
        <v>244518</v>
      </c>
      <c r="E12" s="134">
        <v>-3925</v>
      </c>
      <c r="F12" s="134">
        <v>-272519</v>
      </c>
      <c r="G12" s="134">
        <v>-12121</v>
      </c>
    </row>
    <row r="13" spans="1:8" ht="25.2" customHeight="1" x14ac:dyDescent="0.25">
      <c r="A13" s="73" t="s">
        <v>106</v>
      </c>
      <c r="B13" s="140">
        <v>-34</v>
      </c>
      <c r="C13" s="138">
        <v>-3065</v>
      </c>
      <c r="D13" s="140">
        <v>-86</v>
      </c>
      <c r="E13" s="138">
        <v>-7584</v>
      </c>
      <c r="F13" s="138">
        <v>-10089</v>
      </c>
      <c r="G13" s="138">
        <v>-20858</v>
      </c>
    </row>
    <row r="14" spans="1:8" ht="16.05" customHeight="1" x14ac:dyDescent="0.25">
      <c r="A14" s="83" t="s">
        <v>108</v>
      </c>
      <c r="B14" s="132">
        <v>158132</v>
      </c>
      <c r="C14" s="132">
        <v>693247</v>
      </c>
      <c r="D14" s="132">
        <v>3680784</v>
      </c>
      <c r="E14" s="132">
        <v>365897</v>
      </c>
      <c r="F14" s="132">
        <v>503443</v>
      </c>
      <c r="G14" s="132">
        <v>5401503</v>
      </c>
    </row>
    <row r="15" spans="1:8" ht="16.05" customHeight="1" x14ac:dyDescent="0.25">
      <c r="A15" s="87"/>
      <c r="B15" s="141"/>
      <c r="C15" s="141"/>
      <c r="D15" s="141"/>
      <c r="E15" s="141"/>
      <c r="F15" s="141"/>
      <c r="G15" s="141"/>
    </row>
    <row r="16" spans="1:8" ht="24.75" customHeight="1" x14ac:dyDescent="0.25">
      <c r="A16" s="57" t="s">
        <v>125</v>
      </c>
      <c r="B16" s="142" t="s">
        <v>3</v>
      </c>
      <c r="C16" s="132">
        <v>232068</v>
      </c>
      <c r="D16" s="132">
        <v>2547621</v>
      </c>
      <c r="E16" s="132">
        <v>182257</v>
      </c>
      <c r="F16" s="142" t="s">
        <v>3</v>
      </c>
      <c r="G16" s="132">
        <v>2961946</v>
      </c>
    </row>
    <row r="17" spans="1:7" ht="16.05" customHeight="1" x14ac:dyDescent="0.25">
      <c r="A17" s="61" t="s">
        <v>126</v>
      </c>
      <c r="B17" s="25" t="s">
        <v>3</v>
      </c>
      <c r="C17" s="133">
        <v>27042</v>
      </c>
      <c r="D17" s="133">
        <v>243424</v>
      </c>
      <c r="E17" s="133">
        <v>29172</v>
      </c>
      <c r="F17" s="25" t="s">
        <v>3</v>
      </c>
      <c r="G17" s="133">
        <v>299638</v>
      </c>
    </row>
    <row r="18" spans="1:7" ht="16.05" customHeight="1" x14ac:dyDescent="0.25">
      <c r="A18" s="61" t="s">
        <v>104</v>
      </c>
      <c r="B18" s="25" t="s">
        <v>3</v>
      </c>
      <c r="C18" s="134">
        <v>-1516</v>
      </c>
      <c r="D18" s="134">
        <v>-72308</v>
      </c>
      <c r="E18" s="134">
        <v>-6540</v>
      </c>
      <c r="F18" s="25" t="s">
        <v>3</v>
      </c>
      <c r="G18" s="134">
        <v>-80364</v>
      </c>
    </row>
    <row r="19" spans="1:7" ht="16.05" customHeight="1" x14ac:dyDescent="0.25">
      <c r="A19" s="61" t="s">
        <v>105</v>
      </c>
      <c r="B19" s="25" t="s">
        <v>3</v>
      </c>
      <c r="C19" s="134">
        <v>-8153</v>
      </c>
      <c r="D19" s="134">
        <v>-12355</v>
      </c>
      <c r="E19" s="134">
        <v>-12668</v>
      </c>
      <c r="F19" s="25" t="s">
        <v>3</v>
      </c>
      <c r="G19" s="134">
        <v>-33176</v>
      </c>
    </row>
    <row r="20" spans="1:7" ht="25.2" customHeight="1" x14ac:dyDescent="0.25">
      <c r="A20" s="73" t="s">
        <v>106</v>
      </c>
      <c r="B20" s="141" t="s">
        <v>3</v>
      </c>
      <c r="C20" s="140">
        <v>-56</v>
      </c>
      <c r="D20" s="138">
        <v>-4226</v>
      </c>
      <c r="E20" s="139">
        <v>3692</v>
      </c>
      <c r="F20" s="141" t="s">
        <v>3</v>
      </c>
      <c r="G20" s="140">
        <v>-590</v>
      </c>
    </row>
    <row r="21" spans="1:7" ht="15.75" customHeight="1" x14ac:dyDescent="0.25">
      <c r="A21" s="57" t="s">
        <v>107</v>
      </c>
      <c r="B21" s="142" t="s">
        <v>3</v>
      </c>
      <c r="C21" s="132">
        <v>249385</v>
      </c>
      <c r="D21" s="132">
        <v>2702156</v>
      </c>
      <c r="E21" s="132">
        <v>195913</v>
      </c>
      <c r="F21" s="142" t="s">
        <v>3</v>
      </c>
      <c r="G21" s="132">
        <v>3147454</v>
      </c>
    </row>
    <row r="22" spans="1:7" ht="16.05" customHeight="1" x14ac:dyDescent="0.25">
      <c r="A22" s="61" t="s">
        <v>126</v>
      </c>
      <c r="B22" s="25" t="s">
        <v>3</v>
      </c>
      <c r="C22" s="133">
        <v>30017</v>
      </c>
      <c r="D22" s="133">
        <v>234243</v>
      </c>
      <c r="E22" s="133">
        <v>34474</v>
      </c>
      <c r="F22" s="25" t="s">
        <v>3</v>
      </c>
      <c r="G22" s="133">
        <v>298734</v>
      </c>
    </row>
    <row r="23" spans="1:7" ht="16.05" customHeight="1" x14ac:dyDescent="0.25">
      <c r="A23" s="61" t="s">
        <v>104</v>
      </c>
      <c r="B23" s="25" t="s">
        <v>3</v>
      </c>
      <c r="C23" s="134">
        <v>-1693</v>
      </c>
      <c r="D23" s="134">
        <v>-70264</v>
      </c>
      <c r="E23" s="134">
        <v>-17403</v>
      </c>
      <c r="F23" s="25" t="s">
        <v>3</v>
      </c>
      <c r="G23" s="134">
        <v>-89360</v>
      </c>
    </row>
    <row r="24" spans="1:7" ht="16.05" customHeight="1" x14ac:dyDescent="0.25">
      <c r="A24" s="61" t="s">
        <v>105</v>
      </c>
      <c r="B24" s="25" t="s">
        <v>3</v>
      </c>
      <c r="C24" s="134">
        <v>-5170</v>
      </c>
      <c r="D24" s="135">
        <v>-516</v>
      </c>
      <c r="E24" s="134">
        <v>-5053</v>
      </c>
      <c r="F24" s="25" t="s">
        <v>3</v>
      </c>
      <c r="G24" s="134">
        <v>-10739</v>
      </c>
    </row>
    <row r="25" spans="1:7" ht="25.2" customHeight="1" x14ac:dyDescent="0.25">
      <c r="A25" s="73" t="s">
        <v>106</v>
      </c>
      <c r="B25" s="141" t="s">
        <v>3</v>
      </c>
      <c r="C25" s="138">
        <v>-1694</v>
      </c>
      <c r="D25" s="139">
        <v>1745</v>
      </c>
      <c r="E25" s="138">
        <v>-2528</v>
      </c>
      <c r="F25" s="141" t="s">
        <v>3</v>
      </c>
      <c r="G25" s="138">
        <v>-2477</v>
      </c>
    </row>
    <row r="26" spans="1:7" ht="16.05" customHeight="1" x14ac:dyDescent="0.25">
      <c r="A26" s="83" t="s">
        <v>108</v>
      </c>
      <c r="B26" s="142" t="s">
        <v>3</v>
      </c>
      <c r="C26" s="132">
        <v>270845</v>
      </c>
      <c r="D26" s="132">
        <v>2867364</v>
      </c>
      <c r="E26" s="132">
        <v>205403</v>
      </c>
      <c r="F26" s="142" t="s">
        <v>3</v>
      </c>
      <c r="G26" s="132">
        <v>3343612</v>
      </c>
    </row>
    <row r="27" spans="1:7" ht="16.05" customHeight="1" x14ac:dyDescent="0.25">
      <c r="A27" s="87"/>
      <c r="B27" s="141"/>
      <c r="C27" s="141"/>
      <c r="D27" s="141"/>
      <c r="E27" s="141"/>
      <c r="F27" s="141"/>
      <c r="G27" s="141"/>
    </row>
    <row r="28" spans="1:7" ht="15.75" customHeight="1" x14ac:dyDescent="0.25">
      <c r="A28" s="57" t="s">
        <v>112</v>
      </c>
      <c r="B28" s="143"/>
      <c r="C28" s="143"/>
      <c r="D28" s="143"/>
      <c r="E28" s="143"/>
      <c r="F28" s="143"/>
      <c r="G28" s="143"/>
    </row>
    <row r="29" spans="1:7" ht="16.05" customHeight="1" x14ac:dyDescent="0.25">
      <c r="A29" s="99" t="s">
        <v>113</v>
      </c>
      <c r="B29" s="144">
        <v>151229</v>
      </c>
      <c r="C29" s="144">
        <v>291079</v>
      </c>
      <c r="D29" s="144">
        <v>658112</v>
      </c>
      <c r="E29" s="144">
        <v>82988</v>
      </c>
      <c r="F29" s="144">
        <v>391792</v>
      </c>
      <c r="G29" s="144">
        <v>1575200</v>
      </c>
    </row>
    <row r="30" spans="1:7" ht="16.05" customHeight="1" x14ac:dyDescent="0.25">
      <c r="A30" s="108" t="s">
        <v>127</v>
      </c>
      <c r="B30" s="145" t="s">
        <v>3</v>
      </c>
      <c r="C30" s="146">
        <v>22971</v>
      </c>
      <c r="D30" s="146">
        <v>3396</v>
      </c>
      <c r="E30" s="146">
        <v>41888</v>
      </c>
      <c r="F30" s="145" t="s">
        <v>3</v>
      </c>
      <c r="G30" s="146">
        <v>68255</v>
      </c>
    </row>
    <row r="31" spans="1:7" ht="16.05" customHeight="1" x14ac:dyDescent="0.25">
      <c r="A31" s="99" t="s">
        <v>114</v>
      </c>
      <c r="B31" s="144">
        <v>152813</v>
      </c>
      <c r="C31" s="144">
        <v>408041</v>
      </c>
      <c r="D31" s="144">
        <v>647839</v>
      </c>
      <c r="E31" s="144">
        <v>120956</v>
      </c>
      <c r="F31" s="144">
        <v>499135</v>
      </c>
      <c r="G31" s="144">
        <v>1828784</v>
      </c>
    </row>
    <row r="32" spans="1:7" ht="16.2" customHeight="1" x14ac:dyDescent="0.25">
      <c r="A32" s="109" t="s">
        <v>127</v>
      </c>
      <c r="B32" s="145" t="s">
        <v>3</v>
      </c>
      <c r="C32" s="146">
        <v>38918</v>
      </c>
      <c r="D32" s="146">
        <v>8569</v>
      </c>
      <c r="E32" s="146">
        <v>68884</v>
      </c>
      <c r="F32" s="145" t="s">
        <v>3</v>
      </c>
      <c r="G32" s="146">
        <v>116371</v>
      </c>
    </row>
    <row r="33" spans="1:7" ht="15.75" customHeight="1" x14ac:dyDescent="0.25">
      <c r="A33" s="57" t="s">
        <v>115</v>
      </c>
      <c r="B33" s="144">
        <v>158132</v>
      </c>
      <c r="C33" s="144">
        <v>422402</v>
      </c>
      <c r="D33" s="144">
        <v>813420</v>
      </c>
      <c r="E33" s="144">
        <v>160494</v>
      </c>
      <c r="F33" s="144">
        <v>503443</v>
      </c>
      <c r="G33" s="144">
        <v>2057891</v>
      </c>
    </row>
    <row r="34" spans="1:7" ht="16.2" customHeight="1" x14ac:dyDescent="0.25">
      <c r="A34" s="109" t="s">
        <v>127</v>
      </c>
      <c r="B34" s="147" t="s">
        <v>3</v>
      </c>
      <c r="C34" s="148">
        <v>37022</v>
      </c>
      <c r="D34" s="148">
        <v>6131</v>
      </c>
      <c r="E34" s="148">
        <v>103113</v>
      </c>
      <c r="F34" s="147" t="s">
        <v>3</v>
      </c>
      <c r="G34" s="148">
        <v>146266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zoomScale="70" zoomScaleNormal="70" workbookViewId="0">
      <selection activeCell="J17" sqref="J17"/>
    </sheetView>
  </sheetViews>
  <sheetFormatPr defaultRowHeight="12" x14ac:dyDescent="0.25"/>
  <cols>
    <col min="1" max="1" width="38" style="3" customWidth="1"/>
    <col min="2" max="2" width="16.6640625" style="3" customWidth="1"/>
    <col min="3" max="3" width="18.21875" style="3" customWidth="1"/>
    <col min="4" max="4" width="15.33203125" style="3" customWidth="1"/>
    <col min="5" max="5" width="19.77734375" style="3" customWidth="1"/>
    <col min="6" max="6" width="10.21875" style="3" customWidth="1"/>
    <col min="7" max="7" width="3.33203125" style="3" customWidth="1"/>
    <col min="8" max="16384" width="8.88671875" style="3"/>
  </cols>
  <sheetData>
    <row r="1" spans="1:7" ht="30" customHeight="1" x14ac:dyDescent="0.25">
      <c r="A1" s="1" t="s">
        <v>136</v>
      </c>
      <c r="B1" s="1"/>
      <c r="C1" s="1"/>
      <c r="D1" s="1"/>
      <c r="E1" s="1"/>
      <c r="F1" s="1"/>
      <c r="G1" s="1"/>
    </row>
    <row r="2" spans="1:7" ht="10.050000000000001" customHeight="1" x14ac:dyDescent="0.25">
      <c r="A2" s="129" t="s">
        <v>99</v>
      </c>
      <c r="B2" s="129"/>
      <c r="C2" s="129"/>
      <c r="D2" s="129"/>
      <c r="E2" s="129"/>
      <c r="F2" s="129"/>
      <c r="G2" s="129"/>
    </row>
    <row r="3" spans="1:7" ht="36" x14ac:dyDescent="0.25">
      <c r="A3" s="51"/>
      <c r="B3" s="52" t="s">
        <v>116</v>
      </c>
      <c r="C3" s="53" t="s">
        <v>117</v>
      </c>
      <c r="D3" s="54" t="s">
        <v>100</v>
      </c>
      <c r="E3" s="55" t="s">
        <v>118</v>
      </c>
      <c r="F3" s="56" t="s">
        <v>101</v>
      </c>
    </row>
    <row r="4" spans="1:7" ht="16.05" customHeight="1" x14ac:dyDescent="0.25">
      <c r="A4" s="579" t="s">
        <v>2</v>
      </c>
      <c r="B4" s="579"/>
      <c r="C4" s="579"/>
      <c r="D4" s="579"/>
      <c r="E4" s="579"/>
      <c r="F4" s="579"/>
    </row>
    <row r="5" spans="1:7" ht="24.75" customHeight="1" x14ac:dyDescent="0.25">
      <c r="A5" s="57" t="s">
        <v>102</v>
      </c>
      <c r="B5" s="58">
        <v>2607792</v>
      </c>
      <c r="C5" s="59">
        <v>1188371</v>
      </c>
      <c r="D5" s="59">
        <v>318585</v>
      </c>
      <c r="E5" s="60">
        <v>67788</v>
      </c>
      <c r="F5" s="58">
        <v>4182536</v>
      </c>
    </row>
    <row r="6" spans="1:7" ht="16.05" customHeight="1" x14ac:dyDescent="0.25">
      <c r="A6" s="61" t="s">
        <v>103</v>
      </c>
      <c r="B6" s="62">
        <v>306559</v>
      </c>
      <c r="C6" s="63">
        <v>169908</v>
      </c>
      <c r="D6" s="63">
        <v>26453</v>
      </c>
      <c r="E6" s="64">
        <v>3954</v>
      </c>
      <c r="F6" s="62">
        <v>506874</v>
      </c>
    </row>
    <row r="7" spans="1:7" ht="16.05" customHeight="1" x14ac:dyDescent="0.25">
      <c r="A7" s="61" t="s">
        <v>104</v>
      </c>
      <c r="B7" s="65">
        <v>-14632</v>
      </c>
      <c r="C7" s="66">
        <v>-945</v>
      </c>
      <c r="D7" s="67">
        <v>-1613</v>
      </c>
      <c r="E7" s="68">
        <v>-12</v>
      </c>
      <c r="F7" s="65">
        <v>-17202</v>
      </c>
    </row>
    <row r="8" spans="1:7" ht="16.05" customHeight="1" x14ac:dyDescent="0.25">
      <c r="A8" s="61" t="s">
        <v>105</v>
      </c>
      <c r="B8" s="69" t="s">
        <v>3</v>
      </c>
      <c r="C8" s="70" t="s">
        <v>3</v>
      </c>
      <c r="D8" s="63">
        <v>10267</v>
      </c>
      <c r="E8" s="71">
        <v>-9684</v>
      </c>
      <c r="F8" s="72">
        <v>583</v>
      </c>
    </row>
    <row r="9" spans="1:7" ht="25.2" customHeight="1" x14ac:dyDescent="0.25">
      <c r="A9" s="73" t="s">
        <v>106</v>
      </c>
      <c r="B9" s="74">
        <v>2633</v>
      </c>
      <c r="C9" s="75">
        <v>-2632</v>
      </c>
      <c r="D9" s="76" t="s">
        <v>3</v>
      </c>
      <c r="E9" s="77">
        <v>-15000</v>
      </c>
      <c r="F9" s="78">
        <v>-14999</v>
      </c>
    </row>
    <row r="10" spans="1:7" ht="15.75" customHeight="1" x14ac:dyDescent="0.25">
      <c r="A10" s="57" t="s">
        <v>107</v>
      </c>
      <c r="B10" s="58">
        <v>2902352</v>
      </c>
      <c r="C10" s="59">
        <v>1354702</v>
      </c>
      <c r="D10" s="59">
        <v>353692</v>
      </c>
      <c r="E10" s="60">
        <v>47046</v>
      </c>
      <c r="F10" s="58">
        <v>4657792</v>
      </c>
    </row>
    <row r="11" spans="1:7" ht="16.05" customHeight="1" x14ac:dyDescent="0.25">
      <c r="A11" s="61" t="s">
        <v>103</v>
      </c>
      <c r="B11" s="62">
        <v>248733</v>
      </c>
      <c r="C11" s="63">
        <v>172532</v>
      </c>
      <c r="D11" s="63">
        <v>32846</v>
      </c>
      <c r="E11" s="64">
        <v>3865</v>
      </c>
      <c r="F11" s="62">
        <v>457976</v>
      </c>
    </row>
    <row r="12" spans="1:7" ht="16.05" customHeight="1" x14ac:dyDescent="0.25">
      <c r="A12" s="61" t="s">
        <v>104</v>
      </c>
      <c r="B12" s="65">
        <v>-1949</v>
      </c>
      <c r="C12" s="66">
        <v>-498</v>
      </c>
      <c r="D12" s="67">
        <v>-1541</v>
      </c>
      <c r="E12" s="68">
        <v>-17</v>
      </c>
      <c r="F12" s="65">
        <v>-4005</v>
      </c>
    </row>
    <row r="13" spans="1:7" ht="16.05" customHeight="1" x14ac:dyDescent="0.25">
      <c r="A13" s="61" t="s">
        <v>105</v>
      </c>
      <c r="B13" s="69" t="s">
        <v>3</v>
      </c>
      <c r="C13" s="70" t="s">
        <v>3</v>
      </c>
      <c r="D13" s="63">
        <v>1814</v>
      </c>
      <c r="E13" s="68">
        <v>-340</v>
      </c>
      <c r="F13" s="62">
        <v>1474</v>
      </c>
    </row>
    <row r="14" spans="1:7" ht="25.2" customHeight="1" x14ac:dyDescent="0.25">
      <c r="A14" s="73" t="s">
        <v>106</v>
      </c>
      <c r="B14" s="79" t="s">
        <v>3</v>
      </c>
      <c r="C14" s="76" t="s">
        <v>3</v>
      </c>
      <c r="D14" s="80">
        <v>-2</v>
      </c>
      <c r="E14" s="81">
        <v>-25</v>
      </c>
      <c r="F14" s="82">
        <v>-27</v>
      </c>
    </row>
    <row r="15" spans="1:7" ht="16.05" customHeight="1" x14ac:dyDescent="0.25">
      <c r="A15" s="83" t="s">
        <v>108</v>
      </c>
      <c r="B15" s="84">
        <v>3149136</v>
      </c>
      <c r="C15" s="85">
        <v>1526736</v>
      </c>
      <c r="D15" s="85">
        <v>386809</v>
      </c>
      <c r="E15" s="86">
        <v>50529</v>
      </c>
      <c r="F15" s="84">
        <v>5113210</v>
      </c>
    </row>
    <row r="16" spans="1:7" ht="16.05" customHeight="1" x14ac:dyDescent="0.25">
      <c r="A16" s="87"/>
      <c r="B16" s="88"/>
      <c r="C16" s="88"/>
      <c r="D16" s="88"/>
      <c r="E16" s="88"/>
      <c r="F16" s="88"/>
    </row>
    <row r="17" spans="1:7" ht="24.75" customHeight="1" x14ac:dyDescent="0.25">
      <c r="A17" s="57" t="s">
        <v>109</v>
      </c>
      <c r="B17" s="58">
        <v>1760157</v>
      </c>
      <c r="C17" s="59">
        <v>666111</v>
      </c>
      <c r="D17" s="59">
        <v>282628</v>
      </c>
      <c r="E17" s="60">
        <v>53941</v>
      </c>
      <c r="F17" s="58">
        <v>2762837</v>
      </c>
    </row>
    <row r="18" spans="1:7" ht="16.05" customHeight="1" x14ac:dyDescent="0.25">
      <c r="A18" s="61" t="s">
        <v>110</v>
      </c>
      <c r="B18" s="62">
        <v>237414</v>
      </c>
      <c r="C18" s="63">
        <v>93367</v>
      </c>
      <c r="D18" s="63">
        <v>34695</v>
      </c>
      <c r="E18" s="64">
        <v>1663</v>
      </c>
      <c r="F18" s="62">
        <v>367139</v>
      </c>
    </row>
    <row r="19" spans="1:7" ht="16.05" customHeight="1" x14ac:dyDescent="0.25">
      <c r="A19" s="61" t="s">
        <v>104</v>
      </c>
      <c r="B19" s="65">
        <v>-2881</v>
      </c>
      <c r="C19" s="89" t="s">
        <v>3</v>
      </c>
      <c r="D19" s="89" t="s">
        <v>3</v>
      </c>
      <c r="E19" s="90" t="s">
        <v>3</v>
      </c>
      <c r="F19" s="65">
        <v>-2881</v>
      </c>
    </row>
    <row r="20" spans="1:7" ht="16.05" customHeight="1" x14ac:dyDescent="0.25">
      <c r="A20" s="61" t="s">
        <v>111</v>
      </c>
      <c r="B20" s="91" t="s">
        <v>3</v>
      </c>
      <c r="C20" s="70" t="s">
        <v>3</v>
      </c>
      <c r="D20" s="92">
        <v>31</v>
      </c>
      <c r="E20" s="93" t="s">
        <v>3</v>
      </c>
      <c r="F20" s="72">
        <v>31</v>
      </c>
    </row>
    <row r="21" spans="1:7" ht="25.2" customHeight="1" x14ac:dyDescent="0.25">
      <c r="A21" s="73" t="s">
        <v>106</v>
      </c>
      <c r="B21" s="56" t="s">
        <v>3</v>
      </c>
      <c r="C21" s="80">
        <v>-3</v>
      </c>
      <c r="D21" s="76" t="s">
        <v>3</v>
      </c>
      <c r="E21" s="77">
        <v>-14995</v>
      </c>
      <c r="F21" s="78">
        <v>-14998</v>
      </c>
    </row>
    <row r="22" spans="1:7" ht="15.75" customHeight="1" x14ac:dyDescent="0.25">
      <c r="A22" s="57" t="s">
        <v>107</v>
      </c>
      <c r="B22" s="58">
        <v>1994690</v>
      </c>
      <c r="C22" s="59">
        <v>759475</v>
      </c>
      <c r="D22" s="59">
        <v>317354</v>
      </c>
      <c r="E22" s="60">
        <v>40609</v>
      </c>
      <c r="F22" s="58">
        <v>3112128</v>
      </c>
    </row>
    <row r="23" spans="1:7" ht="16.05" customHeight="1" x14ac:dyDescent="0.25">
      <c r="A23" s="61" t="s">
        <v>110</v>
      </c>
      <c r="B23" s="62">
        <v>219282</v>
      </c>
      <c r="C23" s="63">
        <v>106889</v>
      </c>
      <c r="D23" s="63">
        <v>34821</v>
      </c>
      <c r="E23" s="64">
        <v>2210</v>
      </c>
      <c r="F23" s="62">
        <v>363202</v>
      </c>
    </row>
    <row r="24" spans="1:7" ht="16.05" customHeight="1" x14ac:dyDescent="0.25">
      <c r="A24" s="61" t="s">
        <v>104</v>
      </c>
      <c r="B24" s="94">
        <v>-247</v>
      </c>
      <c r="C24" s="70" t="s">
        <v>3</v>
      </c>
      <c r="D24" s="66">
        <v>-644</v>
      </c>
      <c r="E24" s="93" t="s">
        <v>3</v>
      </c>
      <c r="F24" s="94">
        <v>-891</v>
      </c>
    </row>
    <row r="25" spans="1:7" ht="16.2" customHeight="1" x14ac:dyDescent="0.25">
      <c r="A25" s="73" t="s">
        <v>111</v>
      </c>
      <c r="B25" s="79" t="s">
        <v>3</v>
      </c>
      <c r="C25" s="76" t="s">
        <v>3</v>
      </c>
      <c r="D25" s="95">
        <v>314</v>
      </c>
      <c r="E25" s="96" t="s">
        <v>3</v>
      </c>
      <c r="F25" s="97">
        <v>314</v>
      </c>
    </row>
    <row r="26" spans="1:7" ht="16.05" customHeight="1" x14ac:dyDescent="0.25">
      <c r="A26" s="83" t="s">
        <v>108</v>
      </c>
      <c r="B26" s="84">
        <v>2213725</v>
      </c>
      <c r="C26" s="85">
        <v>866364</v>
      </c>
      <c r="D26" s="85">
        <v>351845</v>
      </c>
      <c r="E26" s="86">
        <v>42819</v>
      </c>
      <c r="F26" s="84">
        <v>3474753</v>
      </c>
    </row>
    <row r="27" spans="1:7" ht="16.05" customHeight="1" x14ac:dyDescent="0.25">
      <c r="A27" s="87"/>
      <c r="B27" s="88"/>
      <c r="C27" s="88"/>
      <c r="D27" s="88"/>
      <c r="E27" s="88"/>
      <c r="F27" s="88"/>
    </row>
    <row r="28" spans="1:7" ht="15.75" customHeight="1" x14ac:dyDescent="0.25">
      <c r="A28" s="57" t="s">
        <v>112</v>
      </c>
      <c r="B28" s="98"/>
      <c r="C28" s="98"/>
      <c r="D28" s="98"/>
      <c r="E28" s="98"/>
      <c r="F28" s="98"/>
    </row>
    <row r="29" spans="1:7" ht="16.05" customHeight="1" x14ac:dyDescent="0.25">
      <c r="A29" s="99" t="s">
        <v>113</v>
      </c>
      <c r="B29" s="100">
        <v>847635</v>
      </c>
      <c r="C29" s="101">
        <v>522260</v>
      </c>
      <c r="D29" s="101">
        <v>35957</v>
      </c>
      <c r="E29" s="102">
        <v>13847</v>
      </c>
      <c r="F29" s="100">
        <v>1419699</v>
      </c>
    </row>
    <row r="30" spans="1:7" ht="16.2" customHeight="1" x14ac:dyDescent="0.25">
      <c r="A30" s="99" t="s">
        <v>114</v>
      </c>
      <c r="B30" s="100">
        <v>907662</v>
      </c>
      <c r="C30" s="101">
        <v>595227</v>
      </c>
      <c r="D30" s="101">
        <v>36338</v>
      </c>
      <c r="E30" s="102">
        <v>6437</v>
      </c>
      <c r="F30" s="100">
        <v>1545664</v>
      </c>
    </row>
    <row r="31" spans="1:7" ht="16.05" customHeight="1" x14ac:dyDescent="0.25">
      <c r="A31" s="103" t="s">
        <v>115</v>
      </c>
      <c r="B31" s="104">
        <v>935411</v>
      </c>
      <c r="C31" s="105">
        <v>660372</v>
      </c>
      <c r="D31" s="105">
        <v>34964</v>
      </c>
      <c r="E31" s="106">
        <v>7710</v>
      </c>
      <c r="F31" s="104">
        <v>1638457</v>
      </c>
    </row>
    <row r="32" spans="1:7" ht="34.200000000000003" customHeight="1" x14ac:dyDescent="0.25">
      <c r="A32" s="37"/>
      <c r="B32" s="37"/>
      <c r="C32" s="37"/>
      <c r="D32" s="37"/>
      <c r="E32" s="37"/>
      <c r="F32" s="37"/>
      <c r="G32" s="37"/>
    </row>
    <row r="33" spans="1:7" x14ac:dyDescent="0.25">
      <c r="A33" s="580"/>
      <c r="B33" s="580"/>
      <c r="C33" s="580"/>
      <c r="D33" s="580"/>
      <c r="E33" s="580"/>
      <c r="F33" s="580"/>
      <c r="G33" s="580"/>
    </row>
  </sheetData>
  <mergeCells count="2">
    <mergeCell ref="A4:F4"/>
    <mergeCell ref="A33:G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Assumptions</vt:lpstr>
      <vt:lpstr>Income Statement</vt:lpstr>
      <vt:lpstr>Balance Sheet</vt:lpstr>
      <vt:lpstr>Cash Flow Statement</vt:lpstr>
      <vt:lpstr>EPS</vt:lpstr>
      <vt:lpstr>Debt</vt:lpstr>
      <vt:lpstr>PPE and Intangible</vt:lpstr>
      <vt:lpstr>Income tax</vt:lpstr>
      <vt:lpstr>full ppe</vt:lpstr>
      <vt:lpstr>ia 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Joud Mrad</cp:lastModifiedBy>
  <dcterms:created xsi:type="dcterms:W3CDTF">2026-10-13T19:20:10Z</dcterms:created>
  <dcterms:modified xsi:type="dcterms:W3CDTF">2026-10-17T12:14:40Z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2026-10-13T00:00:00Z</vt:filetime>
  </property>
  <property fmtid="{D5CDD505-2E9C-101B-9397-08002B2CF9AE}" pid="4" name="LastSaved">
    <vt:filetime>2026-10-13T00:00:00Z</vt:filetime>
  </property>
  <property fmtid="{D5CDD505-2E9C-101B-9397-08002B2CF9AE}" pid="5" name="Producer">
    <vt:lpwstr>iLovePDF</vt:lpwstr>
  </property>
</Properties>
</file>